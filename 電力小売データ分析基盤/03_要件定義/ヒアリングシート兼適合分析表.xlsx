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ヒアリング" sheetId="2" state="visible" r:id="rId4"/>
    <sheet name="集計" sheetId="3" state="visible" r:id="rId5"/>
    <sheet name="選択肢" sheetId="4" state="visible" r:id="rId6"/>
  </sheets>
  <definedNames>
    <definedName function="false" hidden="true" localSheetId="1" name="_xlnm._FilterDatabase" vbProcedure="false">ヒアリング!$A$1:$Z$78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<sst xmlns="http://schemas.openxmlformats.org/spreadsheetml/2006/main" count="1032" uniqueCount="543">
  <si>
    <t xml:space="preserve">電力小売データ分析基盤 ヒアリングシート兼適合分析表</t>
  </si>
  <si>
    <t xml:space="preserve">文書名</t>
  </si>
  <si>
    <r>
      <rPr>
        <sz val="10"/>
        <rFont val="Noto Sans CJK SC"/>
        <family val="2"/>
      </rPr>
      <t xml:space="preserve">ヒアリングシート兼適合分析表（</t>
    </r>
    <r>
      <rPr>
        <sz val="10"/>
        <rFont val="Yu Gothic"/>
        <family val="0"/>
        <charset val="1"/>
      </rPr>
      <t xml:space="preserve">Excel </t>
    </r>
    <r>
      <rPr>
        <sz val="10"/>
        <rFont val="Noto Sans CJK SC"/>
        <family val="2"/>
      </rPr>
      <t xml:space="preserve">版・記入用）</t>
    </r>
  </si>
  <si>
    <t xml:space="preserve">版</t>
  </si>
  <si>
    <r>
      <rPr>
        <sz val="10"/>
        <rFont val="Yu Gothic"/>
        <family val="0"/>
        <charset val="1"/>
      </rPr>
      <t xml:space="preserve">1.0</t>
    </r>
    <r>
      <rPr>
        <sz val="10"/>
        <rFont val="Noto Sans CJK SC"/>
        <family val="2"/>
      </rPr>
      <t xml:space="preserve">（正式版）</t>
    </r>
  </si>
  <si>
    <t xml:space="preserve">工程</t>
  </si>
  <si>
    <r>
      <rPr>
        <sz val="10"/>
        <rFont val="Yu Gothic"/>
        <family val="0"/>
        <charset val="1"/>
      </rPr>
      <t xml:space="preserve">03 </t>
    </r>
    <r>
      <rPr>
        <sz val="10"/>
        <rFont val="Noto Sans CJK SC"/>
        <family val="2"/>
      </rPr>
      <t xml:space="preserve">要件定義（ヒアリングと適合分析）</t>
    </r>
  </si>
  <si>
    <t xml:space="preserve">入力</t>
  </si>
  <si>
    <r>
      <rPr>
        <sz val="10"/>
        <rFont val="Noto Sans CJK SC"/>
        <family val="2"/>
      </rPr>
      <t xml:space="preserve">機能一覧（</t>
    </r>
    <r>
      <rPr>
        <sz val="10"/>
        <rFont val="Yu Gothic"/>
        <family val="0"/>
        <charset val="1"/>
      </rPr>
      <t xml:space="preserve">02_</t>
    </r>
    <r>
      <rPr>
        <sz val="10"/>
        <rFont val="Noto Sans CJK SC"/>
        <family val="2"/>
      </rPr>
      <t xml:space="preserve">製品機能</t>
    </r>
    <r>
      <rPr>
        <sz val="10"/>
        <rFont val="Yu Gothic"/>
        <family val="0"/>
        <charset val="1"/>
      </rPr>
      <t xml:space="preserve">/</t>
    </r>
    <r>
      <rPr>
        <sz val="10"/>
        <rFont val="Noto Sans CJK SC"/>
        <family val="2"/>
      </rPr>
      <t xml:space="preserve">機能一覧</t>
    </r>
    <r>
      <rPr>
        <sz val="10"/>
        <rFont val="Yu Gothic"/>
        <family val="0"/>
        <charset val="1"/>
      </rPr>
      <t xml:space="preserve">.xlsx</t>
    </r>
    <r>
      <rPr>
        <sz val="10"/>
        <rFont val="Noto Sans CJK SC"/>
        <family val="2"/>
      </rPr>
      <t xml:space="preserve">）、知識体系</t>
    </r>
  </si>
  <si>
    <t xml:space="preserve">作成・承認</t>
  </si>
  <si>
    <r>
      <rPr>
        <sz val="10"/>
        <rFont val="Noto Sans CJK SC"/>
        <family val="2"/>
      </rPr>
      <t xml:space="preserve">ヒアリングと判定：コンサルタント／</t>
    </r>
    <r>
      <rPr>
        <sz val="10"/>
        <rFont val="Yu Gothic"/>
        <family val="0"/>
        <charset val="1"/>
      </rPr>
      <t xml:space="preserve">GAP </t>
    </r>
    <r>
      <rPr>
        <sz val="10"/>
        <rFont val="Noto Sans CJK SC"/>
        <family val="2"/>
      </rPr>
      <t xml:space="preserve">の影響範囲と改修提案：</t>
    </r>
    <r>
      <rPr>
        <sz val="10"/>
        <rFont val="Yu Gothic"/>
        <family val="0"/>
        <charset val="1"/>
      </rPr>
      <t xml:space="preserve">SE</t>
    </r>
    <r>
      <rPr>
        <sz val="10"/>
        <rFont val="Noto Sans CJK SC"/>
        <family val="2"/>
      </rPr>
      <t xml:space="preserve">／対策の採否：管理者（投資を伴うものは経営者）／全体の承認：</t>
    </r>
    <r>
      <rPr>
        <sz val="10"/>
        <rFont val="Yu Gothic"/>
        <family val="0"/>
        <charset val="1"/>
      </rPr>
      <t xml:space="preserve">PM</t>
    </r>
  </si>
  <si>
    <t xml:space="preserve">記入する欄</t>
  </si>
  <si>
    <r>
      <rPr>
        <sz val="10"/>
        <rFont val="Noto Sans CJK SC"/>
        <family val="2"/>
      </rPr>
      <t xml:space="preserve">「ヒアリング」シートの黄色の列（回答〜状態）だけに記入する。青い見出しの列（項目</t>
    </r>
    <r>
      <rPr>
        <sz val="10"/>
        <rFont val="Yu Gothic"/>
        <family val="0"/>
        <charset val="1"/>
      </rPr>
      <t xml:space="preserve">ID</t>
    </r>
    <r>
      <rPr>
        <sz val="10"/>
        <rFont val="Noto Sans CJK SC"/>
        <family val="2"/>
      </rPr>
      <t xml:space="preserve">〜</t>
    </r>
    <r>
      <rPr>
        <sz val="10"/>
        <rFont val="Yu Gothic"/>
        <family val="0"/>
        <charset val="1"/>
      </rPr>
      <t xml:space="preserve">GAP </t>
    </r>
    <r>
      <rPr>
        <sz val="10"/>
        <rFont val="Noto Sans CJK SC"/>
        <family val="2"/>
      </rPr>
      <t xml:space="preserve">時の対策の考え方）は標準機能の定義なので変更しない</t>
    </r>
  </si>
  <si>
    <t xml:space="preserve">集計</t>
  </si>
  <si>
    <t xml:space="preserve">「集計」シートは記入内容から自動で計算される（数式）</t>
  </si>
  <si>
    <t xml:space="preserve">進め方</t>
  </si>
  <si>
    <r>
      <rPr>
        <b val="true"/>
        <sz val="10"/>
        <rFont val="Yu Gothic"/>
        <family val="0"/>
        <charset val="1"/>
      </rPr>
      <t xml:space="preserve">1. </t>
    </r>
    <r>
      <rPr>
        <b val="true"/>
        <sz val="10"/>
        <rFont val="Noto Sans CJK SC"/>
        <family val="2"/>
      </rPr>
      <t xml:space="preserve">準備</t>
    </r>
  </si>
  <si>
    <r>
      <rPr>
        <sz val="10"/>
        <rFont val="Noto Sans CJK SC"/>
        <family val="2"/>
      </rPr>
      <t xml:space="preserve">機能一覧と本シートを導入先へ事前に送り、回答者（部署）を割り当てる（</t>
    </r>
    <r>
      <rPr>
        <sz val="10"/>
        <rFont val="Yu Gothic"/>
        <family val="0"/>
        <charset val="1"/>
      </rPr>
      <t xml:space="preserve">PM</t>
    </r>
    <r>
      <rPr>
        <sz val="10"/>
        <rFont val="Noto Sans CJK SC"/>
        <family val="2"/>
      </rPr>
      <t xml:space="preserve">・コンサルタント）</t>
    </r>
  </si>
  <si>
    <r>
      <rPr>
        <b val="true"/>
        <sz val="10"/>
        <rFont val="Yu Gothic"/>
        <family val="0"/>
        <charset val="1"/>
      </rPr>
      <t xml:space="preserve">2. </t>
    </r>
    <r>
      <rPr>
        <b val="true"/>
        <sz val="10"/>
        <rFont val="Noto Sans CJK SC"/>
        <family val="2"/>
      </rPr>
      <t xml:space="preserve">ヒアリング</t>
    </r>
  </si>
  <si>
    <t xml:space="preserve">機能ごとに「標準機能の内容」を説明し、「確認事項」を質問して「回答」に記入する（コンサルタント／回答：業務担当者）</t>
  </si>
  <si>
    <r>
      <rPr>
        <b val="true"/>
        <sz val="10"/>
        <rFont val="Yu Gothic"/>
        <family val="0"/>
        <charset val="1"/>
      </rPr>
      <t xml:space="preserve">3. </t>
    </r>
    <r>
      <rPr>
        <b val="true"/>
        <sz val="10"/>
        <rFont val="Noto Sans CJK SC"/>
        <family val="2"/>
      </rPr>
      <t xml:space="preserve">判定</t>
    </r>
  </si>
  <si>
    <t xml:space="preserve">回答をもとに「判定」を選ぶ（コンサルタント）</t>
  </si>
  <si>
    <r>
      <rPr>
        <b val="true"/>
        <sz val="10"/>
        <rFont val="Yu Gothic"/>
        <family val="0"/>
        <charset val="1"/>
      </rPr>
      <t xml:space="preserve">4. GAP </t>
    </r>
    <r>
      <rPr>
        <b val="true"/>
        <sz val="10"/>
        <rFont val="Noto Sans CJK SC"/>
        <family val="2"/>
      </rPr>
      <t xml:space="preserve">分析</t>
    </r>
  </si>
  <si>
    <r>
      <rPr>
        <sz val="10"/>
        <rFont val="Noto Sans CJK SC"/>
        <family val="2"/>
      </rPr>
      <t xml:space="preserve">判定が </t>
    </r>
    <r>
      <rPr>
        <sz val="10"/>
        <rFont val="Yu Gothic"/>
        <family val="0"/>
        <charset val="1"/>
      </rPr>
      <t xml:space="preserve">GAP </t>
    </r>
    <r>
      <rPr>
        <sz val="10"/>
        <rFont val="Noto Sans CJK SC"/>
        <family val="2"/>
      </rPr>
      <t xml:space="preserve">の項目に「</t>
    </r>
    <r>
      <rPr>
        <sz val="10"/>
        <rFont val="Yu Gothic"/>
        <family val="0"/>
        <charset val="1"/>
      </rPr>
      <t xml:space="preserve">GAP </t>
    </r>
    <r>
      <rPr>
        <sz val="10"/>
        <rFont val="Noto Sans CJK SC"/>
        <family val="2"/>
      </rPr>
      <t xml:space="preserve">の内容」「影響範囲」「影響する工程」「対策区分」「改修提案」「影響度」を記入する（</t>
    </r>
    <r>
      <rPr>
        <sz val="10"/>
        <rFont val="Yu Gothic"/>
        <family val="0"/>
        <charset val="1"/>
      </rPr>
      <t xml:space="preserve">SE</t>
    </r>
    <r>
      <rPr>
        <sz val="10"/>
        <rFont val="Noto Sans CJK SC"/>
        <family val="2"/>
      </rPr>
      <t xml:space="preserve">）</t>
    </r>
  </si>
  <si>
    <r>
      <rPr>
        <b val="true"/>
        <sz val="10"/>
        <rFont val="Yu Gothic"/>
        <family val="0"/>
        <charset val="1"/>
      </rPr>
      <t xml:space="preserve">5. </t>
    </r>
    <r>
      <rPr>
        <b val="true"/>
        <sz val="10"/>
        <rFont val="Noto Sans CJK SC"/>
        <family val="2"/>
      </rPr>
      <t xml:space="preserve">対策の決定</t>
    </r>
  </si>
  <si>
    <t xml:space="preserve">「決定内容」「根拠資料」「決定者氏名」「決定日」を記入し、「状態」を「決定済み」にする（管理者。投資を伴うものは経営者）</t>
  </si>
  <si>
    <r>
      <rPr>
        <b val="true"/>
        <sz val="10"/>
        <rFont val="Yu Gothic"/>
        <family val="0"/>
        <charset val="1"/>
      </rPr>
      <t xml:space="preserve">6. </t>
    </r>
    <r>
      <rPr>
        <b val="true"/>
        <sz val="10"/>
        <rFont val="Noto Sans CJK SC"/>
        <family val="2"/>
      </rPr>
      <t xml:space="preserve">完了</t>
    </r>
  </si>
  <si>
    <r>
      <rPr>
        <sz val="10"/>
        <rFont val="Noto Sans CJK SC"/>
        <family val="2"/>
      </rPr>
      <t xml:space="preserve">集計シートの「未決定」が </t>
    </r>
    <r>
      <rPr>
        <sz val="10"/>
        <rFont val="Yu Gothic"/>
        <family val="0"/>
        <charset val="1"/>
      </rPr>
      <t xml:space="preserve">0 </t>
    </r>
    <r>
      <rPr>
        <sz val="10"/>
        <rFont val="Noto Sans CJK SC"/>
        <family val="2"/>
      </rPr>
      <t xml:space="preserve">になったら要件定義を完了する（</t>
    </r>
    <r>
      <rPr>
        <sz val="10"/>
        <rFont val="Yu Gothic"/>
        <family val="0"/>
        <charset val="1"/>
      </rPr>
      <t xml:space="preserve">PM</t>
    </r>
    <r>
      <rPr>
        <sz val="10"/>
        <rFont val="Noto Sans CJK SC"/>
        <family val="2"/>
      </rPr>
      <t xml:space="preserve">）</t>
    </r>
  </si>
  <si>
    <t xml:space="preserve">選択肢の意味</t>
  </si>
  <si>
    <t xml:space="preserve">判定</t>
  </si>
  <si>
    <r>
      <rPr>
        <sz val="10"/>
        <rFont val="Noto Sans CJK SC"/>
        <family val="2"/>
      </rPr>
      <t xml:space="preserve">適合＝標準機能のまま使える／条件付き適合＝設定（マスタ・パラメータの登録）で吸収できる／</t>
    </r>
    <r>
      <rPr>
        <sz val="10"/>
        <rFont val="Yu Gothic"/>
        <family val="0"/>
        <charset val="1"/>
      </rPr>
      <t xml:space="preserve">GAP</t>
    </r>
    <r>
      <rPr>
        <sz val="10"/>
        <rFont val="Noto Sans CJK SC"/>
        <family val="2"/>
      </rPr>
      <t xml:space="preserve">＝改修または運用での回避が必要／対象外＝導入先の業務に該当しない</t>
    </r>
  </si>
  <si>
    <t xml:space="preserve">対策区分</t>
  </si>
  <si>
    <t xml:space="preserve">設定＝パラメータ・区分値の登録／マスタ追加＝マスタの行・区分の追加／ロジック改修＝計算・判定・データ構造の変更（基本設計〜運用のすべてに影響）／運用で回避＝業務手順で吸収</t>
  </si>
  <si>
    <t xml:space="preserve">影響度</t>
  </si>
  <si>
    <r>
      <rPr>
        <sz val="10"/>
        <rFont val="Noto Sans CJK SC"/>
        <family val="2"/>
      </rPr>
      <t xml:space="preserve">大＝複数機能・データ構造に及ぶ、または過去データの再計算が必要／中＝</t>
    </r>
    <r>
      <rPr>
        <sz val="10"/>
        <rFont val="Yu Gothic"/>
        <family val="0"/>
        <charset val="1"/>
      </rPr>
      <t xml:space="preserve">1</t>
    </r>
    <r>
      <rPr>
        <sz val="10"/>
        <rFont val="Noto Sans CJK SC"/>
        <family val="2"/>
      </rPr>
      <t xml:space="preserve">機能内の計算・判定の変更／小＝設定・マスタ登録で済む</t>
    </r>
  </si>
  <si>
    <t xml:space="preserve">影響範囲</t>
  </si>
  <si>
    <r>
      <rPr>
        <sz val="10"/>
        <rFont val="Noto Sans CJK SC"/>
        <family val="2"/>
      </rPr>
      <t xml:space="preserve">影響する機能</t>
    </r>
    <r>
      <rPr>
        <sz val="10"/>
        <rFont val="Yu Gothic"/>
        <family val="0"/>
        <charset val="1"/>
      </rPr>
      <t xml:space="preserve">ID </t>
    </r>
    <r>
      <rPr>
        <sz val="10"/>
        <rFont val="Noto Sans CJK SC"/>
        <family val="2"/>
      </rPr>
      <t xml:space="preserve">と、影響するデータ（機能一覧の「主なデータ」の論理名）を書く。設計書の各章は機能</t>
    </r>
    <r>
      <rPr>
        <sz val="10"/>
        <rFont val="Yu Gothic"/>
        <family val="0"/>
        <charset val="1"/>
      </rPr>
      <t xml:space="preserve">ID </t>
    </r>
    <r>
      <rPr>
        <sz val="10"/>
        <rFont val="Noto Sans CJK SC"/>
        <family val="2"/>
      </rPr>
      <t xml:space="preserve">を持つため、機能</t>
    </r>
    <r>
      <rPr>
        <sz val="10"/>
        <rFont val="Yu Gothic"/>
        <family val="0"/>
        <charset val="1"/>
      </rPr>
      <t xml:space="preserve">ID </t>
    </r>
    <r>
      <rPr>
        <sz val="10"/>
        <rFont val="Noto Sans CJK SC"/>
        <family val="2"/>
      </rPr>
      <t xml:space="preserve">から影響する設計箇所を特定できる</t>
    </r>
  </si>
  <si>
    <t xml:space="preserve">状態</t>
  </si>
  <si>
    <t xml:space="preserve">未着手／確認中／回答済み／決定済み</t>
  </si>
  <si>
    <r>
      <rPr>
        <b val="true"/>
        <sz val="10"/>
        <rFont val="Noto Sans CJK SC"/>
        <family val="2"/>
      </rPr>
      <t xml:space="preserve">記入例（</t>
    </r>
    <r>
      <rPr>
        <b val="true"/>
        <sz val="10"/>
        <rFont val="Yu Gothic"/>
        <family val="0"/>
        <charset val="1"/>
      </rPr>
      <t xml:space="preserve">F08-01 </t>
    </r>
    <r>
      <rPr>
        <b val="true"/>
        <sz val="10"/>
        <rFont val="Noto Sans CJK SC"/>
        <family val="2"/>
      </rPr>
      <t xml:space="preserve">で </t>
    </r>
    <r>
      <rPr>
        <b val="true"/>
        <sz val="10"/>
        <rFont val="Yu Gothic"/>
        <family val="0"/>
        <charset val="1"/>
      </rPr>
      <t xml:space="preserve">GAP </t>
    </r>
    <r>
      <rPr>
        <b val="true"/>
        <sz val="10"/>
        <rFont val="Noto Sans CJK SC"/>
        <family val="2"/>
      </rPr>
      <t xml:space="preserve">となった場合）</t>
    </r>
  </si>
  <si>
    <t xml:space="preserve">回答</t>
  </si>
  <si>
    <r>
      <rPr>
        <sz val="10"/>
        <rFont val="Noto Sans CJK SC"/>
        <family val="2"/>
      </rPr>
      <t xml:space="preserve">固定単価メニューの高圧需要家のうち</t>
    </r>
    <r>
      <rPr>
        <sz val="10"/>
        <rFont val="Yu Gothic"/>
        <family val="0"/>
        <charset val="1"/>
      </rPr>
      <t xml:space="preserve">12</t>
    </r>
    <r>
      <rPr>
        <sz val="10"/>
        <rFont val="Noto Sans CJK SC"/>
        <family val="2"/>
      </rPr>
      <t xml:space="preserve">社に、基本料金の個別値引き（</t>
    </r>
    <r>
      <rPr>
        <sz val="10"/>
        <rFont val="Yu Gothic"/>
        <family val="0"/>
        <charset val="1"/>
      </rPr>
      <t xml:space="preserve">3</t>
    </r>
    <r>
      <rPr>
        <sz val="10"/>
        <rFont val="Noto Sans CJK SC"/>
        <family val="2"/>
      </rPr>
      <t xml:space="preserve">〜</t>
    </r>
    <r>
      <rPr>
        <sz val="10"/>
        <rFont val="Yu Gothic"/>
        <family val="0"/>
        <charset val="1"/>
      </rPr>
      <t xml:space="preserve">5%</t>
    </r>
    <r>
      <rPr>
        <sz val="10"/>
        <rFont val="Noto Sans CJK SC"/>
        <family val="2"/>
      </rPr>
      <t xml:space="preserve">）がある</t>
    </r>
  </si>
  <si>
    <t xml:space="preserve">GAP</t>
  </si>
  <si>
    <r>
      <rPr>
        <b val="true"/>
        <sz val="10"/>
        <rFont val="Yu Gothic"/>
        <family val="0"/>
        <charset val="1"/>
      </rPr>
      <t xml:space="preserve">GAP </t>
    </r>
    <r>
      <rPr>
        <b val="true"/>
        <sz val="10"/>
        <rFont val="Noto Sans CJK SC"/>
        <family val="2"/>
      </rPr>
      <t xml:space="preserve">の内容</t>
    </r>
  </si>
  <si>
    <t xml:space="preserve">固定単価メニューの需要家別値引きを標準の構造で表せない</t>
  </si>
  <si>
    <r>
      <rPr>
        <b val="true"/>
        <sz val="10"/>
        <rFont val="Noto Sans CJK SC"/>
        <family val="2"/>
      </rPr>
      <t xml:space="preserve">影響範囲（機能</t>
    </r>
    <r>
      <rPr>
        <b val="true"/>
        <sz val="10"/>
        <rFont val="Yu Gothic"/>
        <family val="0"/>
        <charset val="1"/>
      </rPr>
      <t xml:space="preserve">ID</t>
    </r>
    <r>
      <rPr>
        <b val="true"/>
        <sz val="10"/>
        <rFont val="Noto Sans CJK SC"/>
        <family val="2"/>
      </rPr>
      <t xml:space="preserve">・データ）</t>
    </r>
  </si>
  <si>
    <r>
      <rPr>
        <sz val="10"/>
        <rFont val="Yu Gothic"/>
        <family val="0"/>
        <charset val="1"/>
      </rPr>
      <t xml:space="preserve">F-08 </t>
    </r>
    <r>
      <rPr>
        <sz val="10"/>
        <rFont val="Noto Sans CJK SC"/>
        <family val="2"/>
      </rPr>
      <t xml:space="preserve">小売売上計算／料金メニューマスタ、日報損益マート（売上）</t>
    </r>
  </si>
  <si>
    <t xml:space="preserve">影響する工程</t>
  </si>
  <si>
    <t xml:space="preserve">基本設計・詳細設計・ソースコード・導入</t>
  </si>
  <si>
    <t xml:space="preserve">ロジック改修</t>
  </si>
  <si>
    <t xml:space="preserve">改修提案</t>
  </si>
  <si>
    <r>
      <rPr>
        <sz val="10"/>
        <rFont val="Noto Sans CJK SC"/>
        <family val="2"/>
      </rPr>
      <t xml:space="preserve">料金メニューの単価に需要家単位の上書き行を追加し、日報バッチの単価解決で優先適用する。代替案：顧客専用のメニューコードを</t>
    </r>
    <r>
      <rPr>
        <sz val="10"/>
        <rFont val="Yu Gothic"/>
        <family val="0"/>
        <charset val="1"/>
      </rPr>
      <t xml:space="preserve">12</t>
    </r>
    <r>
      <rPr>
        <sz val="10"/>
        <rFont val="Noto Sans CJK SC"/>
        <family val="2"/>
      </rPr>
      <t xml:space="preserve">個登録する（マスタ追加で済むが、メニュー数が増える）</t>
    </r>
  </si>
  <si>
    <t xml:space="preserve">中</t>
  </si>
  <si>
    <t xml:space="preserve">決定内容</t>
  </si>
  <si>
    <r>
      <rPr>
        <sz val="10"/>
        <rFont val="Noto Sans CJK SC"/>
        <family val="2"/>
      </rPr>
      <t xml:space="preserve">代替案（顧客専用メニューコード）を採用。値引き先が</t>
    </r>
    <r>
      <rPr>
        <sz val="10"/>
        <rFont val="Yu Gothic"/>
        <family val="0"/>
        <charset val="1"/>
      </rPr>
      <t xml:space="preserve">20</t>
    </r>
    <r>
      <rPr>
        <sz val="10"/>
        <rFont val="Noto Sans CJK SC"/>
        <family val="2"/>
      </rPr>
      <t xml:space="preserve">社を超えた時点で改修を再検討する</t>
    </r>
  </si>
  <si>
    <t xml:space="preserve">根拠資料</t>
  </si>
  <si>
    <r>
      <rPr>
        <sz val="10"/>
        <rFont val="Noto Sans CJK SC"/>
        <family val="2"/>
      </rPr>
      <t xml:space="preserve">料金メニュー表（</t>
    </r>
    <r>
      <rPr>
        <sz val="10"/>
        <rFont val="Yu Gothic"/>
        <family val="0"/>
        <charset val="1"/>
      </rPr>
      <t xml:space="preserve">2026</t>
    </r>
    <r>
      <rPr>
        <sz val="10"/>
        <rFont val="Noto Sans CJK SC"/>
        <family val="2"/>
      </rPr>
      <t xml:space="preserve">年</t>
    </r>
    <r>
      <rPr>
        <sz val="10"/>
        <rFont val="Yu Gothic"/>
        <family val="0"/>
        <charset val="1"/>
      </rPr>
      <t xml:space="preserve">4</t>
    </r>
    <r>
      <rPr>
        <sz val="10"/>
        <rFont val="Noto Sans CJK SC"/>
        <family val="2"/>
      </rPr>
      <t xml:space="preserve">月版）、営業部の特約一覧</t>
    </r>
  </si>
  <si>
    <t xml:space="preserve">決定者氏名</t>
  </si>
  <si>
    <t xml:space="preserve">料金部長 山田</t>
  </si>
  <si>
    <t xml:space="preserve">決定日</t>
  </si>
  <si>
    <t xml:space="preserve">2026/10/05</t>
  </si>
  <si>
    <t xml:space="preserve">期限</t>
  </si>
  <si>
    <t xml:space="preserve">2026/10/10</t>
  </si>
  <si>
    <t xml:space="preserve">決定済み</t>
  </si>
  <si>
    <r>
      <rPr>
        <b val="true"/>
        <sz val="10"/>
        <color rgb="FFFFFFFF"/>
        <rFont val="Noto Sans CJK SC"/>
        <family val="2"/>
      </rPr>
      <t xml:space="preserve">項目</t>
    </r>
    <r>
      <rPr>
        <b val="true"/>
        <sz val="10"/>
        <color rgb="FFFFFFFF"/>
        <rFont val="Yu Gothic"/>
        <family val="0"/>
        <charset val="1"/>
      </rPr>
      <t xml:space="preserve">ID</t>
    </r>
  </si>
  <si>
    <r>
      <rPr>
        <b val="true"/>
        <sz val="10"/>
        <color rgb="FFFFFFFF"/>
        <rFont val="Noto Sans CJK SC"/>
        <family val="2"/>
      </rPr>
      <t xml:space="preserve">機能</t>
    </r>
    <r>
      <rPr>
        <b val="true"/>
        <sz val="10"/>
        <color rgb="FFFFFFFF"/>
        <rFont val="Yu Gothic"/>
        <family val="0"/>
        <charset val="1"/>
      </rPr>
      <t xml:space="preserve">ID</t>
    </r>
  </si>
  <si>
    <t xml:space="preserve">機能</t>
  </si>
  <si>
    <t xml:space="preserve">区分</t>
  </si>
  <si>
    <t xml:space="preserve">確認事項</t>
  </si>
  <si>
    <t xml:space="preserve">標準機能の内容</t>
  </si>
  <si>
    <t xml:space="preserve">回答者（役割）</t>
  </si>
  <si>
    <t xml:space="preserve">決定者（役割）</t>
  </si>
  <si>
    <t xml:space="preserve">未確定のまま進めた場合の影響</t>
  </si>
  <si>
    <r>
      <rPr>
        <b val="true"/>
        <sz val="10"/>
        <color rgb="FFFFFFFF"/>
        <rFont val="Yu Gothic"/>
        <family val="0"/>
        <charset val="1"/>
      </rPr>
      <t xml:space="preserve">GAP </t>
    </r>
    <r>
      <rPr>
        <b val="true"/>
        <sz val="10"/>
        <color rgb="FFFFFFFF"/>
        <rFont val="Noto Sans CJK SC"/>
        <family val="2"/>
      </rPr>
      <t xml:space="preserve">時の対策の考え方</t>
    </r>
  </si>
  <si>
    <t xml:space="preserve">回答者氏名</t>
  </si>
  <si>
    <t xml:space="preserve">回答日</t>
  </si>
  <si>
    <r>
      <rPr>
        <b val="true"/>
        <sz val="10"/>
        <color rgb="FFFFFFFF"/>
        <rFont val="Yu Gothic"/>
        <family val="0"/>
        <charset val="1"/>
      </rPr>
      <t xml:space="preserve">GAP </t>
    </r>
    <r>
      <rPr>
        <b val="true"/>
        <sz val="10"/>
        <color rgb="FFFFFFFF"/>
        <rFont val="Noto Sans CJK SC"/>
        <family val="2"/>
      </rPr>
      <t xml:space="preserve">の内容</t>
    </r>
  </si>
  <si>
    <r>
      <rPr>
        <b val="true"/>
        <sz val="10"/>
        <color rgb="FFFFFFFF"/>
        <rFont val="Noto Sans CJK SC"/>
        <family val="2"/>
      </rPr>
      <t xml:space="preserve">影響範囲（機能</t>
    </r>
    <r>
      <rPr>
        <b val="true"/>
        <sz val="10"/>
        <color rgb="FFFFFFFF"/>
        <rFont val="Yu Gothic"/>
        <family val="0"/>
        <charset val="1"/>
      </rPr>
      <t xml:space="preserve">ID</t>
    </r>
    <r>
      <rPr>
        <b val="true"/>
        <sz val="10"/>
        <color rgb="FFFFFFFF"/>
        <rFont val="Noto Sans CJK SC"/>
        <family val="2"/>
      </rPr>
      <t xml:space="preserve">・データ）</t>
    </r>
  </si>
  <si>
    <t xml:space="preserve">F01-01</t>
  </si>
  <si>
    <t xml:space="preserve">F-01</t>
  </si>
  <si>
    <t xml:space="preserve">基盤マスタ・取引先管理</t>
  </si>
  <si>
    <t xml:space="preserve">制度確認</t>
  </si>
  <si>
    <r>
      <rPr>
        <sz val="10"/>
        <rFont val="Noto Sans CJK SC"/>
        <family val="2"/>
      </rPr>
      <t xml:space="preserve">事業者コード</t>
    </r>
    <r>
      <rPr>
        <sz val="10"/>
        <rFont val="Yu Gothic"/>
        <family val="0"/>
        <charset val="1"/>
      </rPr>
      <t xml:space="preserve">3</t>
    </r>
    <r>
      <rPr>
        <sz val="10"/>
        <rFont val="Noto Sans CJK SC"/>
        <family val="2"/>
      </rPr>
      <t xml:space="preserve">種（登録番号、エリアごとの小売事業者コード</t>
    </r>
    <r>
      <rPr>
        <sz val="10"/>
        <rFont val="Yu Gothic"/>
        <family val="0"/>
        <charset val="1"/>
      </rPr>
      <t xml:space="preserve">5</t>
    </r>
    <r>
      <rPr>
        <sz val="10"/>
        <rFont val="Noto Sans CJK SC"/>
        <family val="2"/>
      </rPr>
      <t xml:space="preserve">桁、一般送配電事業者コード）をどの資料から取得するか。</t>
    </r>
  </si>
  <si>
    <r>
      <rPr>
        <sz val="10"/>
        <rFont val="Noto Sans CJK SC"/>
        <family val="2"/>
      </rPr>
      <t xml:space="preserve">登録番号は資源エネルギー庁の登録小売電気事業者一覧から一括投入する。小売事業者コードは一括提供がないため、</t>
    </r>
    <r>
      <rPr>
        <sz val="10"/>
        <rFont val="Yu Gothic"/>
        <family val="0"/>
        <charset val="1"/>
      </rPr>
      <t xml:space="preserve">OCCTO </t>
    </r>
    <r>
      <rPr>
        <sz val="10"/>
        <rFont val="Noto Sans CJK SC"/>
        <family val="2"/>
      </rPr>
      <t xml:space="preserve">スイッチング支援システム・供給計画届出書・</t>
    </r>
    <r>
      <rPr>
        <sz val="10"/>
        <rFont val="Yu Gothic"/>
        <family val="0"/>
        <charset val="1"/>
      </rPr>
      <t xml:space="preserve">JEPX </t>
    </r>
    <r>
      <rPr>
        <sz val="10"/>
        <rFont val="Noto Sans CJK SC"/>
        <family val="2"/>
      </rPr>
      <t xml:space="preserve">取引明細のいずれかから進出エリア分を抽出する。一般送配電事業者コードは各一送の </t>
    </r>
    <r>
      <rPr>
        <sz val="10"/>
        <rFont val="Yu Gothic"/>
        <family val="0"/>
        <charset val="1"/>
      </rPr>
      <t xml:space="preserve">EDI </t>
    </r>
    <r>
      <rPr>
        <sz val="10"/>
        <rFont val="Noto Sans CJK SC"/>
        <family val="2"/>
      </rPr>
      <t xml:space="preserve">仕様書の巻末マスタ、または受信済みの託送請求データ・確報データのファイルヘッダーから取得する。</t>
    </r>
  </si>
  <si>
    <t xml:space="preserve">業務担当者（需給管理部・情報システム部）</t>
  </si>
  <si>
    <t xml:space="preserve">管理者</t>
  </si>
  <si>
    <t xml:space="preserve">外部データの名寄せができず、取込が停止する。</t>
  </si>
  <si>
    <t xml:space="preserve">マスタ追加（取得元が異なるだけであれば登録手順の変更で吸収）</t>
  </si>
  <si>
    <t xml:space="preserve">未着手</t>
  </si>
  <si>
    <t xml:space="preserve">F01-02</t>
  </si>
  <si>
    <t xml:space="preserve">機能確認</t>
  </si>
  <si>
    <t xml:space="preserve">事業エリアはどこか。沖縄エリアでの事業はあるか。</t>
  </si>
  <si>
    <r>
      <rPr>
        <sz val="10"/>
        <rFont val="Noto Sans CJK SC"/>
        <family val="2"/>
      </rPr>
      <t xml:space="preserve">北海道〜九州の</t>
    </r>
    <r>
      <rPr>
        <sz val="10"/>
        <rFont val="Yu Gothic"/>
        <family val="0"/>
        <charset val="1"/>
      </rPr>
      <t xml:space="preserve">9</t>
    </r>
    <r>
      <rPr>
        <sz val="10"/>
        <rFont val="Noto Sans CJK SC"/>
        <family val="2"/>
      </rPr>
      <t xml:space="preserve">エリアを対象とする。沖縄は対象外。</t>
    </r>
  </si>
  <si>
    <t xml:space="preserve">業務担当者（経営企画・需給管理部）</t>
  </si>
  <si>
    <t xml:space="preserve">経営者</t>
  </si>
  <si>
    <t xml:space="preserve">対象外エリアのデータが取り込まれ、入口で拒否される。</t>
  </si>
  <si>
    <t xml:space="preserve">ロジック改修（沖縄を対象にする場合は、インバランス制度の違いを含む大規模な改修）</t>
  </si>
  <si>
    <t xml:space="preserve">F01-03</t>
  </si>
  <si>
    <r>
      <rPr>
        <sz val="10"/>
        <rFont val="Noto Sans CJK SC"/>
        <family val="2"/>
      </rPr>
      <t xml:space="preserve">同じ取引先が需要家と電源の供給者を兼ねるケースはあるか。</t>
    </r>
    <r>
      <rPr>
        <sz val="10"/>
        <rFont val="Yu Gothic"/>
        <family val="0"/>
        <charset val="1"/>
      </rPr>
      <t xml:space="preserve">BG </t>
    </r>
    <r>
      <rPr>
        <sz val="10"/>
        <rFont val="Noto Sans CJK SC"/>
        <family val="2"/>
      </rPr>
      <t xml:space="preserve">に参加している取引先はどれか。</t>
    </r>
  </si>
  <si>
    <r>
      <rPr>
        <sz val="10"/>
        <rFont val="Noto Sans CJK SC"/>
        <family val="2"/>
      </rPr>
      <t xml:space="preserve">取引先は</t>
    </r>
    <r>
      <rPr>
        <sz val="10"/>
        <rFont val="Yu Gothic"/>
        <family val="0"/>
        <charset val="1"/>
      </rPr>
      <t xml:space="preserve">1</t>
    </r>
    <r>
      <rPr>
        <sz val="10"/>
        <rFont val="Noto Sans CJK SC"/>
        <family val="2"/>
      </rPr>
      <t xml:space="preserve">つのマスタで管理し、需要家・供給者・</t>
    </r>
    <r>
      <rPr>
        <sz val="10"/>
        <rFont val="Yu Gothic"/>
        <family val="0"/>
        <charset val="1"/>
      </rPr>
      <t xml:space="preserve">BG</t>
    </r>
    <r>
      <rPr>
        <sz val="10"/>
        <rFont val="Noto Sans CJK SC"/>
        <family val="2"/>
      </rPr>
      <t xml:space="preserve">構成員の役割をフラグで持つ。</t>
    </r>
    <r>
      <rPr>
        <sz val="10"/>
        <rFont val="Yu Gothic"/>
        <family val="0"/>
        <charset val="1"/>
      </rPr>
      <t xml:space="preserve">1</t>
    </r>
    <r>
      <rPr>
        <sz val="10"/>
        <rFont val="Noto Sans CJK SC"/>
        <family val="2"/>
      </rPr>
      <t xml:space="preserve">社が複数の役割を持てる。</t>
    </r>
  </si>
  <si>
    <t xml:space="preserve">業務担当者（営業部・電源開発部）</t>
  </si>
  <si>
    <t xml:space="preserve">取引先の重複登録により、取引先単位の集計が分かれる。</t>
  </si>
  <si>
    <t xml:space="preserve">設定（役割フラグの登録）</t>
  </si>
  <si>
    <t xml:space="preserve">F02-01</t>
  </si>
  <si>
    <t xml:space="preserve">F-02</t>
  </si>
  <si>
    <t xml:space="preserve">需要家・契約管理</t>
  </si>
  <si>
    <t xml:space="preserve">業務決定</t>
  </si>
  <si>
    <r>
      <rPr>
        <sz val="10"/>
        <rFont val="Noto Sans CJK SC"/>
        <family val="2"/>
      </rPr>
      <t xml:space="preserve">個人需要家の取引先</t>
    </r>
    <r>
      <rPr>
        <sz val="10"/>
        <rFont val="Yu Gothic"/>
        <family val="0"/>
        <charset val="1"/>
      </rPr>
      <t xml:space="preserve">ID</t>
    </r>
    <r>
      <rPr>
        <sz val="10"/>
        <rFont val="Noto Sans CJK SC"/>
        <family val="2"/>
      </rPr>
      <t xml:space="preserve">の採番規則をどうするか。取引先名に氏名を入れない運用を徹底できるか。</t>
    </r>
  </si>
  <si>
    <r>
      <rPr>
        <sz val="10"/>
        <rFont val="Noto Sans CJK SC"/>
        <family val="2"/>
      </rPr>
      <t xml:space="preserve">個人需要家は「</t>
    </r>
    <r>
      <rPr>
        <sz val="10"/>
        <rFont val="Yu Gothic"/>
        <family val="0"/>
        <charset val="1"/>
      </rPr>
      <t xml:space="preserve">IND_</t>
    </r>
    <r>
      <rPr>
        <sz val="10"/>
        <rFont val="Noto Sans CJK SC"/>
        <family val="2"/>
      </rPr>
      <t xml:space="preserve">＋需要家</t>
    </r>
    <r>
      <rPr>
        <sz val="10"/>
        <rFont val="Yu Gothic"/>
        <family val="0"/>
        <charset val="1"/>
      </rPr>
      <t xml:space="preserve">ID</t>
    </r>
    <r>
      <rPr>
        <sz val="10"/>
        <rFont val="Noto Sans CJK SC"/>
        <family val="2"/>
      </rPr>
      <t xml:space="preserve">」で採番し、取引先名は固定ラベル「個人需要家」とする。氏名は需要家マスタの個人情報の列にのみ持つ。</t>
    </r>
  </si>
  <si>
    <t xml:space="preserve">業務担当者（営業部・情報システム部）</t>
  </si>
  <si>
    <t xml:space="preserve">取引先マスタに個人情報が流入し、閲覧制限の付与範囲が参照元へ連鎖して制御できなくなる。</t>
  </si>
  <si>
    <t xml:space="preserve">運用で回避（採番規則の変更は設定で吸収）</t>
  </si>
  <si>
    <t xml:space="preserve">F02-02</t>
  </si>
  <si>
    <t xml:space="preserve">既存システムの契約履歴に、期間の重複（同じ日に複数プランが有効）や隙間（未契約の期間）はどの程度あるか。</t>
  </si>
  <si>
    <t xml:space="preserve">契約履歴は期間管理とし、重複・隙間・開始終了の逆転を検証で拒否する。</t>
  </si>
  <si>
    <t xml:space="preserve">業務担当者（料金担当）</t>
  </si>
  <si>
    <t xml:space="preserve">移行が長期化し、日報で単価が引けない日が発生する。</t>
  </si>
  <si>
    <t xml:space="preserve">運用で回避（移行前に業務側で是正する）</t>
  </si>
  <si>
    <t xml:space="preserve">F02-03</t>
  </si>
  <si>
    <r>
      <rPr>
        <sz val="10"/>
        <rFont val="Noto Sans CJK SC"/>
        <family val="2"/>
      </rPr>
      <t xml:space="preserve">供給地点特定番号をどの経路で登録しているか（画面・</t>
    </r>
    <r>
      <rPr>
        <sz val="10"/>
        <rFont val="Yu Gothic"/>
        <family val="0"/>
        <charset val="1"/>
      </rPr>
      <t xml:space="preserve">API</t>
    </r>
    <r>
      <rPr>
        <sz val="10"/>
        <rFont val="Noto Sans CJK SC"/>
        <family val="2"/>
      </rPr>
      <t xml:space="preserve">・一括取込）。</t>
    </r>
  </si>
  <si>
    <r>
      <rPr>
        <sz val="10"/>
        <rFont val="Noto Sans CJK SC"/>
        <family val="2"/>
      </rPr>
      <t xml:space="preserve">全入口で先頭</t>
    </r>
    <r>
      <rPr>
        <sz val="10"/>
        <rFont val="Yu Gothic"/>
        <family val="0"/>
        <charset val="1"/>
      </rPr>
      <t xml:space="preserve">3</t>
    </r>
    <r>
      <rPr>
        <sz val="10"/>
        <rFont val="Noto Sans CJK SC"/>
        <family val="2"/>
      </rPr>
      <t xml:space="preserve">桁（エリア</t>
    </r>
    <r>
      <rPr>
        <sz val="10"/>
        <rFont val="Yu Gothic"/>
        <family val="0"/>
        <charset val="1"/>
      </rPr>
      <t xml:space="preserve">2</t>
    </r>
    <r>
      <rPr>
        <sz val="10"/>
        <rFont val="Noto Sans CJK SC"/>
        <family val="2"/>
      </rPr>
      <t xml:space="preserve">桁＋電圧区分</t>
    </r>
    <r>
      <rPr>
        <sz val="10"/>
        <rFont val="Yu Gothic"/>
        <family val="0"/>
        <charset val="1"/>
      </rPr>
      <t xml:space="preserve">1</t>
    </r>
    <r>
      <rPr>
        <sz val="10"/>
        <rFont val="Noto Sans CJK SC"/>
        <family val="2"/>
      </rPr>
      <t xml:space="preserve">桁）を検証し、不一致は登録を拒否する。初回取込時に一送の検針データとの突合で実在も確認する。</t>
    </r>
  </si>
  <si>
    <t xml:space="preserve">誤った地点番号が実績取込の失敗として後から発覚する。</t>
  </si>
  <si>
    <t xml:space="preserve">設定（検証の入口を追加する場合はロジック改修）</t>
  </si>
  <si>
    <t xml:space="preserve">F02-04</t>
  </si>
  <si>
    <r>
      <rPr>
        <sz val="10"/>
        <rFont val="Noto Sans CJK SC"/>
        <family val="2"/>
      </rPr>
      <t xml:space="preserve">特定の需要家に専属させる相対契約・コーポレート</t>
    </r>
    <r>
      <rPr>
        <sz val="10"/>
        <rFont val="Yu Gothic"/>
        <family val="0"/>
        <charset val="1"/>
      </rPr>
      <t xml:space="preserve">PPA </t>
    </r>
    <r>
      <rPr>
        <sz val="10"/>
        <rFont val="Noto Sans CJK SC"/>
        <family val="2"/>
      </rPr>
      <t xml:space="preserve">はあるか。</t>
    </r>
  </si>
  <si>
    <t xml:space="preserve">需要家契約に専属調達契約を指定でき、指定された契約はその需要家にだけ配分する。指定のない契約はエリア全体で按分する。</t>
  </si>
  <si>
    <t xml:space="preserve">業務担当者（需給管理部・営業部）</t>
  </si>
  <si>
    <t xml:space="preserve">専属契約の原価がエリア全体に配分され、需要家別の粗利がずれる。</t>
  </si>
  <si>
    <t xml:space="preserve">設定</t>
  </si>
  <si>
    <t xml:space="preserve">F03-01</t>
  </si>
  <si>
    <t xml:space="preserve">F-03</t>
  </si>
  <si>
    <t xml:space="preserve">単価・制度マスタ管理</t>
  </si>
  <si>
    <t xml:space="preserve">エリア別・電圧別の送電損失率の具体値と適用式（除すか乗じるか）は、各一送の最新の託送供給等約款（別表）と一致しているか。</t>
  </si>
  <si>
    <r>
      <rPr>
        <sz val="10"/>
        <rFont val="Noto Sans CJK SC"/>
        <family val="2"/>
      </rPr>
      <t xml:space="preserve">受電端電力量 </t>
    </r>
    <r>
      <rPr>
        <sz val="10"/>
        <rFont val="Yu Gothic"/>
        <family val="0"/>
        <charset val="1"/>
      </rPr>
      <t xml:space="preserve">÷ (1 − </t>
    </r>
    <r>
      <rPr>
        <sz val="10"/>
        <rFont val="Noto Sans CJK SC"/>
        <family val="2"/>
      </rPr>
      <t xml:space="preserve">送電損失率</t>
    </r>
    <r>
      <rPr>
        <sz val="10"/>
        <rFont val="Yu Gothic"/>
        <family val="0"/>
        <charset val="1"/>
      </rPr>
      <t xml:space="preserve">) </t>
    </r>
    <r>
      <rPr>
        <sz val="10"/>
        <rFont val="Noto Sans CJK SC"/>
        <family val="2"/>
      </rPr>
      <t xml:space="preserve">で送電端に換算する。損失率は期間管理で登録する。</t>
    </r>
  </si>
  <si>
    <t xml:space="preserve">業務担当者（需給管理部）</t>
  </si>
  <si>
    <t xml:space="preserve">初期マスタが確定せず、過去データでの検算が進められない。</t>
  </si>
  <si>
    <r>
      <rPr>
        <sz val="10"/>
        <rFont val="Noto Sans CJK SC"/>
        <family val="2"/>
      </rPr>
      <t xml:space="preserve">マスタ追加（換算式が異なる場合は損失補正の</t>
    </r>
    <r>
      <rPr>
        <sz val="10"/>
        <rFont val="Yu Gothic"/>
        <family val="0"/>
        <charset val="1"/>
      </rPr>
      <t xml:space="preserve">1</t>
    </r>
    <r>
      <rPr>
        <sz val="10"/>
        <rFont val="Noto Sans CJK SC"/>
        <family val="2"/>
      </rPr>
      <t xml:space="preserve">箇所のみロジック改修）</t>
    </r>
  </si>
  <si>
    <t xml:space="preserve">F03-02</t>
  </si>
  <si>
    <t xml:space="preserve">託送料金・発電側課金の単価と割引区分の判定条件は何か。季節・休日・時間帯の区分、冬季の特掲の有無、休日昼間の適用単価はどうなっているか。</t>
  </si>
  <si>
    <t xml:space="preserve">託送料金は一律従量と季節別時間帯別を同じ構造で持ち、判定の優先順は「夜間＞休日＞夏季ピーク＞夏季昼間＞冬季昼間＞標準」。時間帯別の単価が空欄なら標準単価を使う。</t>
  </si>
  <si>
    <t xml:space="preserve">業務担当者（需給管理部・料金担当）</t>
  </si>
  <si>
    <t xml:space="preserve">託送原価が約款と合わず、請求突合がずれる。</t>
  </si>
  <si>
    <t xml:space="preserve">マスタ追加（休日ルール・季節境界の登録で吸収）</t>
  </si>
  <si>
    <t xml:space="preserve">F03-03</t>
  </si>
  <si>
    <r>
      <rPr>
        <sz val="10"/>
        <rFont val="Noto Sans CJK SC"/>
        <family val="2"/>
      </rPr>
      <t xml:space="preserve">容量拠出金は一律 </t>
    </r>
    <r>
      <rPr>
        <sz val="10"/>
        <rFont val="Yu Gothic"/>
        <family val="0"/>
        <charset val="1"/>
      </rPr>
      <t xml:space="preserve">kWh </t>
    </r>
    <r>
      <rPr>
        <sz val="10"/>
        <rFont val="Noto Sans CJK SC"/>
        <family val="2"/>
      </rPr>
      <t xml:space="preserve">按分でよいか。容量市場の精算仕様（ピーク時 </t>
    </r>
    <r>
      <rPr>
        <sz val="10"/>
        <rFont val="Yu Gothic"/>
        <family val="0"/>
        <charset val="1"/>
      </rPr>
      <t xml:space="preserve">kW </t>
    </r>
    <r>
      <rPr>
        <sz val="10"/>
        <rFont val="Noto Sans CJK SC"/>
        <family val="2"/>
      </rPr>
      <t xml:space="preserve">按分への移行、年度別単価の改定）に変更はないか。</t>
    </r>
  </si>
  <si>
    <r>
      <rPr>
        <sz val="10"/>
        <rFont val="Noto Sans CJK SC"/>
        <family val="2"/>
      </rPr>
      <t xml:space="preserve">受電端電力量に対する一律 </t>
    </r>
    <r>
      <rPr>
        <sz val="10"/>
        <rFont val="Yu Gothic"/>
        <family val="0"/>
        <charset val="1"/>
      </rPr>
      <t xml:space="preserve">kWh </t>
    </r>
    <r>
      <rPr>
        <sz val="10"/>
        <rFont val="Noto Sans CJK SC"/>
        <family val="2"/>
      </rPr>
      <t xml:space="preserve">按分で原価計上する。ピーク時 </t>
    </r>
    <r>
      <rPr>
        <sz val="10"/>
        <rFont val="Yu Gothic"/>
        <family val="0"/>
        <charset val="1"/>
      </rPr>
      <t xml:space="preserve">kW </t>
    </r>
    <r>
      <rPr>
        <sz val="10"/>
        <rFont val="Noto Sans CJK SC"/>
        <family val="2"/>
      </rPr>
      <t xml:space="preserve">按分用の単価列は予備として持つ。制度の見直しは年次で確認する。</t>
    </r>
  </si>
  <si>
    <t xml:space="preserve">容量拠出金の原価が制度と合わなくなる。</t>
  </si>
  <si>
    <t xml:space="preserve">設定（予備の単価列を有効化）</t>
  </si>
  <si>
    <t xml:space="preserve">F03-04</t>
  </si>
  <si>
    <r>
      <rPr>
        <sz val="10"/>
        <rFont val="Yu Gothic"/>
        <family val="0"/>
        <charset val="1"/>
      </rPr>
      <t xml:space="preserve">FIP </t>
    </r>
    <r>
      <rPr>
        <sz val="10"/>
        <rFont val="Noto Sans CJK SC"/>
        <family val="2"/>
      </rPr>
      <t xml:space="preserve">バランシングコストの年度別単価（基本部分と激変緩和の上乗せ、上乗せの終了年度）は何か。</t>
    </r>
  </si>
  <si>
    <r>
      <rPr>
        <sz val="10"/>
        <rFont val="Noto Sans CJK SC"/>
        <family val="2"/>
      </rPr>
      <t xml:space="preserve">認定年度 </t>
    </r>
    <r>
      <rPr>
        <sz val="10"/>
        <rFont val="Yu Gothic"/>
        <family val="0"/>
        <charset val="1"/>
      </rPr>
      <t xml:space="preserve">× </t>
    </r>
    <r>
      <rPr>
        <sz val="10"/>
        <rFont val="Noto Sans CJK SC"/>
        <family val="2"/>
      </rPr>
      <t xml:space="preserve">実需給年度 </t>
    </r>
    <r>
      <rPr>
        <sz val="10"/>
        <rFont val="Yu Gothic"/>
        <family val="0"/>
        <charset val="1"/>
      </rPr>
      <t xml:space="preserve">× </t>
    </r>
    <r>
      <rPr>
        <sz val="10"/>
        <rFont val="Noto Sans CJK SC"/>
        <family val="2"/>
      </rPr>
      <t xml:space="preserve">電源 </t>
    </r>
    <r>
      <rPr>
        <sz val="10"/>
        <rFont val="Yu Gothic"/>
        <family val="0"/>
        <charset val="1"/>
      </rPr>
      <t xml:space="preserve">× </t>
    </r>
    <r>
      <rPr>
        <sz val="10"/>
        <rFont val="Noto Sans CJK SC"/>
        <family val="2"/>
      </rPr>
      <t xml:space="preserve">エリアの</t>
    </r>
    <r>
      <rPr>
        <sz val="10"/>
        <rFont val="Yu Gothic"/>
        <family val="0"/>
        <charset val="1"/>
      </rPr>
      <t xml:space="preserve">4</t>
    </r>
    <r>
      <rPr>
        <sz val="10"/>
        <rFont val="Noto Sans CJK SC"/>
        <family val="2"/>
      </rPr>
      <t xml:space="preserve">軸で登録し、上乗せの終了年度以降は上乗せ </t>
    </r>
    <r>
      <rPr>
        <sz val="10"/>
        <rFont val="Yu Gothic"/>
        <family val="0"/>
        <charset val="1"/>
      </rPr>
      <t xml:space="preserve">0 </t>
    </r>
    <r>
      <rPr>
        <sz val="10"/>
        <rFont val="Noto Sans CJK SC"/>
        <family val="2"/>
      </rPr>
      <t xml:space="preserve">を明示的に登録する。</t>
    </r>
  </si>
  <si>
    <t xml:space="preserve">業務担当者（電源開発部）</t>
  </si>
  <si>
    <r>
      <rPr>
        <sz val="10"/>
        <rFont val="Yu Gothic"/>
        <family val="0"/>
        <charset val="1"/>
      </rPr>
      <t xml:space="preserve">FIP </t>
    </r>
    <r>
      <rPr>
        <sz val="10"/>
        <rFont val="Noto Sans CJK SC"/>
        <family val="2"/>
      </rPr>
      <t xml:space="preserve">の交付金収入が過大または過小に計上される。</t>
    </r>
  </si>
  <si>
    <t xml:space="preserve">マスタ追加</t>
  </si>
  <si>
    <t xml:space="preserve">F03-05</t>
  </si>
  <si>
    <t xml:space="preserve">燃料費調整単価の公表元の税区分（税込・税抜）と上限の有無は何か。</t>
  </si>
  <si>
    <t xml:space="preserve">公表値のまま税区分付きで保持し、集計マート層で税抜化する（丸めない）。</t>
  </si>
  <si>
    <t xml:space="preserve">燃調の売上が税区分の違いでずれる。</t>
  </si>
  <si>
    <t xml:space="preserve">設定（税区分列の登録）</t>
  </si>
  <si>
    <t xml:space="preserve">F03-06</t>
  </si>
  <si>
    <r>
      <rPr>
        <sz val="10"/>
        <rFont val="Yu Gothic"/>
        <family val="0"/>
        <charset val="1"/>
      </rPr>
      <t xml:space="preserve">JEPX </t>
    </r>
    <r>
      <rPr>
        <sz val="10"/>
        <rFont val="Noto Sans CJK SC"/>
        <family val="2"/>
      </rPr>
      <t xml:space="preserve">の取引手数料（従量・決済代行）と定額手数料の内訳は現行の取引規程どおりか。</t>
    </r>
  </si>
  <si>
    <r>
      <rPr>
        <sz val="10"/>
        <rFont val="Noto Sans CJK SC"/>
        <family val="2"/>
      </rPr>
      <t xml:space="preserve">取引手数料 </t>
    </r>
    <r>
      <rPr>
        <sz val="10"/>
        <rFont val="Yu Gothic"/>
        <family val="0"/>
        <charset val="1"/>
      </rPr>
      <t xml:space="preserve">0.03 </t>
    </r>
    <r>
      <rPr>
        <sz val="10"/>
        <rFont val="Noto Sans CJK SC"/>
        <family val="2"/>
      </rPr>
      <t xml:space="preserve">円</t>
    </r>
    <r>
      <rPr>
        <sz val="10"/>
        <rFont val="Yu Gothic"/>
        <family val="0"/>
        <charset val="1"/>
      </rPr>
      <t xml:space="preserve">/kWh</t>
    </r>
    <r>
      <rPr>
        <sz val="10"/>
        <rFont val="Noto Sans CJK SC"/>
        <family val="2"/>
      </rPr>
      <t xml:space="preserve">＋決済代行 </t>
    </r>
    <r>
      <rPr>
        <sz val="10"/>
        <rFont val="Yu Gothic"/>
        <family val="0"/>
        <charset val="1"/>
      </rPr>
      <t xml:space="preserve">0.01 </t>
    </r>
    <r>
      <rPr>
        <sz val="10"/>
        <rFont val="Noto Sans CJK SC"/>
        <family val="2"/>
      </rPr>
      <t xml:space="preserve">円</t>
    </r>
    <r>
      <rPr>
        <sz val="10"/>
        <rFont val="Yu Gothic"/>
        <family val="0"/>
        <charset val="1"/>
      </rPr>
      <t xml:space="preserve">/kWh</t>
    </r>
    <r>
      <rPr>
        <sz val="10"/>
        <rFont val="Noto Sans CJK SC"/>
        <family val="2"/>
      </rPr>
      <t xml:space="preserve">（売買双方・税抜）、年会費・システム利用料を初期値として期間管理で登録する。</t>
    </r>
  </si>
  <si>
    <t xml:space="preserve">手数料原価がずれる。</t>
  </si>
  <si>
    <t xml:space="preserve">マスタ追加（期間を区切って差し替え）</t>
  </si>
  <si>
    <t xml:space="preserve">F03-07</t>
  </si>
  <si>
    <r>
      <rPr>
        <sz val="10"/>
        <rFont val="Noto Sans CJK SC"/>
        <family val="2"/>
      </rPr>
      <t xml:space="preserve">費目ごとに、単価が「いつ決まるか」を一覧にして合意できるか（基本料金は月末、賦課金は検針月、</t>
    </r>
    <r>
      <rPr>
        <sz val="10"/>
        <rFont val="Yu Gothic"/>
        <family val="0"/>
        <charset val="1"/>
      </rPr>
      <t xml:space="preserve">A</t>
    </r>
    <r>
      <rPr>
        <sz val="10"/>
        <rFont val="Noto Sans CJK SC"/>
        <family val="2"/>
      </rPr>
      <t xml:space="preserve">値は翌月、インバランスは事後、など）。</t>
    </r>
  </si>
  <si>
    <t xml:space="preserve">日報は暫定の単価で計算し、月次で確定値に置き換える。</t>
  </si>
  <si>
    <t xml:space="preserve">コンサルタント・業務担当者（料金担当・経理部）</t>
  </si>
  <si>
    <t xml:space="preserve">経営会議で「先月の数字が変わった」と言われ続ける。</t>
  </si>
  <si>
    <t xml:space="preserve">運用で回避（合意した一覧を運用手順に反映）</t>
  </si>
  <si>
    <t xml:space="preserve">F03-08</t>
  </si>
  <si>
    <t xml:space="preserve">環境価値付きメニューごとに要求される非化石証書の種別、オークション回の単価、購入量と割当の年度突合の方法は何か。</t>
  </si>
  <si>
    <r>
      <rPr>
        <sz val="10"/>
        <rFont val="Noto Sans CJK SC"/>
        <family val="2"/>
      </rPr>
      <t xml:space="preserve">実績量 </t>
    </r>
    <r>
      <rPr>
        <sz val="10"/>
        <rFont val="Yu Gothic"/>
        <family val="0"/>
        <charset val="1"/>
      </rPr>
      <t xml:space="preserve">× </t>
    </r>
    <r>
      <rPr>
        <sz val="10"/>
        <rFont val="Noto Sans CJK SC"/>
        <family val="2"/>
      </rPr>
      <t xml:space="preserve">証書単価を引当計上し、年度末に購入実績と精算する。</t>
    </r>
  </si>
  <si>
    <t xml:space="preserve">非化石証書の原価が過大または過小になる。</t>
  </si>
  <si>
    <t xml:space="preserve">マスタ追加（精算差額の計上先を変える場合はロジック改修）</t>
  </si>
  <si>
    <t xml:space="preserve">F03-09</t>
  </si>
  <si>
    <r>
      <rPr>
        <sz val="10"/>
        <rFont val="Noto Sans CJK SC"/>
        <family val="2"/>
      </rPr>
      <t xml:space="preserve">再エネ賦課金の適用基準（検針月基準、</t>
    </r>
    <r>
      <rPr>
        <sz val="10"/>
        <rFont val="Yu Gothic"/>
        <family val="0"/>
        <charset val="1"/>
      </rPr>
      <t xml:space="preserve">5</t>
    </r>
    <r>
      <rPr>
        <sz val="10"/>
        <rFont val="Noto Sans CJK SC"/>
        <family val="2"/>
      </rPr>
      <t xml:space="preserve">月検針分から新単価）は自社の請求と一致しているか。</t>
    </r>
  </si>
  <si>
    <t xml:space="preserve">税込の公表単価のまま保持し、検針月基準で適用する。</t>
  </si>
  <si>
    <t xml:space="preserve">業務担当者（料金担当・経理部）</t>
  </si>
  <si>
    <t xml:space="preserve">年度の切替月に賦課金が一斉にずれる。</t>
  </si>
  <si>
    <t xml:space="preserve">F04-01</t>
  </si>
  <si>
    <t xml:space="preserve">F-04</t>
  </si>
  <si>
    <t xml:space="preserve">カレンダー・休日管理</t>
  </si>
  <si>
    <t xml:space="preserve">取引先休日（自社・顧客）の登録責任者、承認者、登録漏れを検知したときのエスカレーション手順をどうするか。</t>
  </si>
  <si>
    <t xml:space="preserve">取引先休日は企業ごとのカレンダーとして持ち、登録の鮮度と、休日の登録漏れが疑われる予測の下振れを監視・通知する。承認とエスカレーションは業務プロセスで定義する。</t>
  </si>
  <si>
    <t xml:space="preserve">業務担当者（営業部・カスタマーサポート・総務）</t>
  </si>
  <si>
    <t xml:space="preserve">予測精度が悪化し続け、原因がモデルか登録漏れか切り分けられない。</t>
  </si>
  <si>
    <t xml:space="preserve">運用で回避</t>
  </si>
  <si>
    <t xml:space="preserve">F04-02</t>
  </si>
  <si>
    <r>
      <rPr>
        <sz val="10"/>
        <rFont val="Noto Sans CJK SC"/>
        <family val="2"/>
      </rPr>
      <t xml:space="preserve">料金メニューごとに休日の定義が異なるか（例：メニュー</t>
    </r>
    <r>
      <rPr>
        <sz val="10"/>
        <rFont val="Yu Gothic"/>
        <family val="0"/>
        <charset val="1"/>
      </rPr>
      <t xml:space="preserve">A</t>
    </r>
    <r>
      <rPr>
        <sz val="10"/>
        <rFont val="Noto Sans CJK SC"/>
        <family val="2"/>
      </rPr>
      <t xml:space="preserve">は土日祝、メニュー</t>
    </r>
    <r>
      <rPr>
        <sz val="10"/>
        <rFont val="Yu Gothic"/>
        <family val="0"/>
        <charset val="1"/>
      </rPr>
      <t xml:space="preserve">B</t>
    </r>
    <r>
      <rPr>
        <sz val="10"/>
        <rFont val="Noto Sans CJK SC"/>
        <family val="2"/>
      </rPr>
      <t xml:space="preserve">は日祝のみ）。自社の約款休日との優先関係をメニューごとに変える必要があるか。</t>
    </r>
  </si>
  <si>
    <t xml:space="preserve">料金用の休日は「自社の約款休日 → 土日祝」の優先順で判定する。メニュー別の休日ルールは休日判定ルールマスタで表現する。</t>
  </si>
  <si>
    <t xml:space="preserve">メニューによって休日の単価が誤って適用される。</t>
  </si>
  <si>
    <t xml:space="preserve">設定（優先関係をメニュー別に切り替える場合はロジック改修）</t>
  </si>
  <si>
    <t xml:space="preserve">F04-03</t>
  </si>
  <si>
    <r>
      <rPr>
        <sz val="10"/>
        <rFont val="Noto Sans CJK SC"/>
        <family val="2"/>
      </rPr>
      <t xml:space="preserve">料金用（約款＋土日祝）、予測用（＋顧客休業日）、取引所営業日の</t>
    </r>
    <r>
      <rPr>
        <sz val="10"/>
        <rFont val="Yu Gothic"/>
        <family val="0"/>
        <charset val="1"/>
      </rPr>
      <t xml:space="preserve">3</t>
    </r>
    <r>
      <rPr>
        <sz val="10"/>
        <rFont val="Noto Sans CJK SC"/>
        <family val="2"/>
      </rPr>
      <t xml:space="preserve">つのカレンダーを分けて運用することに合意できるか。</t>
    </r>
  </si>
  <si>
    <r>
      <rPr>
        <sz val="10"/>
        <rFont val="Yu Gothic"/>
        <family val="0"/>
        <charset val="1"/>
      </rPr>
      <t xml:space="preserve">3</t>
    </r>
    <r>
      <rPr>
        <sz val="10"/>
        <rFont val="Noto Sans CJK SC"/>
        <family val="2"/>
      </rPr>
      <t xml:space="preserve">種類の休日判定を分けて提供する。</t>
    </r>
  </si>
  <si>
    <t xml:space="preserve">コンサルタント・業務担当者（需給管理部・料金担当）</t>
  </si>
  <si>
    <t xml:space="preserve">混ぜると料金・予測・先物のいずれかが壊れる。</t>
  </si>
  <si>
    <t xml:space="preserve">F04-04</t>
  </si>
  <si>
    <t xml:space="preserve">会計年度の開始月はいつか。変則決算の予定はあるか。</t>
  </si>
  <si>
    <r>
      <rPr>
        <sz val="10"/>
        <rFont val="Noto Sans CJK SC"/>
        <family val="2"/>
      </rPr>
      <t xml:space="preserve">会計年度・半期・四半期はマスタの期間から導出する（標準は</t>
    </r>
    <r>
      <rPr>
        <sz val="10"/>
        <rFont val="Yu Gothic"/>
        <family val="0"/>
        <charset val="1"/>
      </rPr>
      <t xml:space="preserve">4</t>
    </r>
    <r>
      <rPr>
        <sz val="10"/>
        <rFont val="Noto Sans CJK SC"/>
        <family val="2"/>
      </rPr>
      <t xml:space="preserve">月開始）。変則年度も表現できる。</t>
    </r>
  </si>
  <si>
    <t xml:space="preserve">業務担当者（経理部）</t>
  </si>
  <si>
    <t xml:space="preserve">会計期間の集計がずれる。</t>
  </si>
  <si>
    <t xml:space="preserve">F04-05</t>
  </si>
  <si>
    <r>
      <rPr>
        <sz val="10"/>
        <rFont val="Noto Sans CJK SC"/>
        <family val="2"/>
      </rPr>
      <t xml:space="preserve">デジタル庁の祝日</t>
    </r>
    <r>
      <rPr>
        <sz val="10"/>
        <rFont val="Yu Gothic"/>
        <family val="0"/>
        <charset val="1"/>
      </rPr>
      <t xml:space="preserve">CSV </t>
    </r>
    <r>
      <rPr>
        <sz val="10"/>
        <rFont val="Noto Sans CJK SC"/>
        <family val="2"/>
      </rPr>
      <t xml:space="preserve">の配信</t>
    </r>
    <r>
      <rPr>
        <sz val="10"/>
        <rFont val="Yu Gothic"/>
        <family val="0"/>
        <charset val="1"/>
      </rPr>
      <t xml:space="preserve">URL</t>
    </r>
    <r>
      <rPr>
        <sz val="10"/>
        <rFont val="Noto Sans CJK SC"/>
        <family val="2"/>
      </rPr>
      <t xml:space="preserve">・形式を確認したか。受入条件の閾値（行数の減少・検疫件数）は適切か。</t>
    </r>
  </si>
  <si>
    <r>
      <rPr>
        <sz val="10"/>
        <rFont val="Noto Sans CJK SC"/>
        <family val="2"/>
      </rPr>
      <t xml:space="preserve">祝日</t>
    </r>
    <r>
      <rPr>
        <sz val="10"/>
        <rFont val="Yu Gothic"/>
        <family val="0"/>
        <charset val="1"/>
      </rPr>
      <t xml:space="preserve">CSV </t>
    </r>
    <r>
      <rPr>
        <sz val="10"/>
        <rFont val="Noto Sans CJK SC"/>
        <family val="2"/>
      </rPr>
      <t xml:space="preserve">を唯一のソースとし、受入条件を満たさない場合は更新せずに緊急通知する。</t>
    </r>
  </si>
  <si>
    <r>
      <rPr>
        <sz val="10"/>
        <rFont val="Yu Gothic"/>
        <family val="0"/>
        <charset val="1"/>
      </rPr>
      <t xml:space="preserve">SE</t>
    </r>
    <r>
      <rPr>
        <sz val="10"/>
        <rFont val="Noto Sans CJK SC"/>
        <family val="2"/>
      </rPr>
      <t xml:space="preserve">・運用担当</t>
    </r>
  </si>
  <si>
    <t xml:space="preserve">PM</t>
  </si>
  <si>
    <t xml:space="preserve">祝日が取り込めず、未来日が平日として扱われる。</t>
  </si>
  <si>
    <t xml:space="preserve">設定（閾値の調整）</t>
  </si>
  <si>
    <t xml:space="preserve">F05-01</t>
  </si>
  <si>
    <t xml:space="preserve">F-05</t>
  </si>
  <si>
    <t xml:space="preserve">市場・外部データ取込</t>
  </si>
  <si>
    <t xml:space="preserve">間接オークションにおける連系線容量の割当方式、値差回収金の使途と還付、間接送電権の商品仕様はどうなっているか。</t>
  </si>
  <si>
    <t xml:space="preserve">連系線割当・エリア間値差を事実データとして保持する。割当方式は制度に依存する。</t>
  </si>
  <si>
    <t xml:space="preserve">エリア間値差の原価が正しく計上できない。</t>
  </si>
  <si>
    <t xml:space="preserve">ロジック改修（値差の配分方法を追加する場合）</t>
  </si>
  <si>
    <t xml:space="preserve">F05-02</t>
  </si>
  <si>
    <t xml:space="preserve">インバランス単価の暫定・確定の公表タイミングと、更正の通知形式は何か。</t>
  </si>
  <si>
    <t xml:space="preserve">計算時点の最新値で計算し、更正は単価を上書きして影響日を再計算する（版管理・差額調整はしない）。</t>
  </si>
  <si>
    <t xml:space="preserve">インバランス原価が確定値と合わない期間が長くなる。</t>
  </si>
  <si>
    <t xml:space="preserve">F05-03</t>
  </si>
  <si>
    <r>
      <rPr>
        <sz val="10"/>
        <rFont val="Yu Gothic"/>
        <family val="0"/>
        <charset val="1"/>
      </rPr>
      <t xml:space="preserve">JEPX</t>
    </r>
    <r>
      <rPr>
        <sz val="10"/>
        <rFont val="Noto Sans CJK SC"/>
        <family val="2"/>
      </rPr>
      <t xml:space="preserve">・</t>
    </r>
    <r>
      <rPr>
        <sz val="10"/>
        <rFont val="Yu Gothic"/>
        <family val="0"/>
        <charset val="1"/>
      </rPr>
      <t xml:space="preserve">OCCTO</t>
    </r>
    <r>
      <rPr>
        <sz val="10"/>
        <rFont val="Noto Sans CJK SC"/>
        <family val="2"/>
      </rPr>
      <t xml:space="preserve">・一送からのデータをどの形式・経路で受け取っているか。</t>
    </r>
  </si>
  <si>
    <t xml:space="preserve">生データは無加工で保持し、外部コードはエリアマスタで名寄せする。</t>
  </si>
  <si>
    <t xml:space="preserve">業務担当者（情報システム部）</t>
  </si>
  <si>
    <t xml:space="preserve">取込処理が作れない。</t>
  </si>
  <si>
    <t xml:space="preserve">ロジック改修（取込形式が標準と異なる場合）</t>
  </si>
  <si>
    <t xml:space="preserve">F06-01</t>
  </si>
  <si>
    <t xml:space="preserve">F-06</t>
  </si>
  <si>
    <t xml:space="preserve">計画管理</t>
  </si>
  <si>
    <t xml:space="preserve">計画値同時同量の判定で、提出する需要計画は送電端か。一送は判定時に損失率を乗せるか。</t>
  </si>
  <si>
    <r>
      <rPr>
        <sz val="10"/>
        <rFont val="Noto Sans CJK SC"/>
        <family val="2"/>
      </rPr>
      <t xml:space="preserve">計画値は送電端（</t>
    </r>
    <r>
      <rPr>
        <sz val="10"/>
        <rFont val="Yu Gothic"/>
        <family val="0"/>
        <charset val="1"/>
      </rPr>
      <t xml:space="preserve">OCCTO </t>
    </r>
    <r>
      <rPr>
        <sz val="10"/>
        <rFont val="Noto Sans CJK SC"/>
        <family val="2"/>
      </rPr>
      <t xml:space="preserve">提出値）とし、需要予測の生値（受電端）は区別して保持し、インバランス算出の直前に送電端へ統一する。</t>
    </r>
  </si>
  <si>
    <t xml:space="preserve">インバランス量が損失率分だけずれる。</t>
  </si>
  <si>
    <t xml:space="preserve">設定（計画値の基準の既定値を変更）</t>
  </si>
  <si>
    <t xml:space="preserve">F06-02</t>
  </si>
  <si>
    <r>
      <rPr>
        <sz val="10"/>
        <rFont val="Noto Sans CJK SC"/>
        <family val="2"/>
      </rPr>
      <t xml:space="preserve">需要計画の提出単位（</t>
    </r>
    <r>
      <rPr>
        <sz val="10"/>
        <rFont val="Yu Gothic"/>
        <family val="0"/>
        <charset val="1"/>
      </rPr>
      <t xml:space="preserve">BG</t>
    </r>
    <r>
      <rPr>
        <sz val="10"/>
        <rFont val="Noto Sans CJK SC"/>
        <family val="2"/>
      </rPr>
      <t xml:space="preserve">・エリア）と、計画の改訂の頻度はどうなっているか。</t>
    </r>
  </si>
  <si>
    <t xml:space="preserve">前日計画と当日計画を区別し、改訂版を履歴として保持する。</t>
  </si>
  <si>
    <t xml:space="preserve">インバランスの計算に使う計画版が特定できない。</t>
  </si>
  <si>
    <t xml:space="preserve">F07-01</t>
  </si>
  <si>
    <t xml:space="preserve">F-07</t>
  </si>
  <si>
    <r>
      <rPr>
        <sz val="10"/>
        <rFont val="Noto Sans CJK SC"/>
        <family val="2"/>
      </rPr>
      <t xml:space="preserve">実績管理（</t>
    </r>
    <r>
      <rPr>
        <sz val="10"/>
        <rFont val="Yu Gothic"/>
        <family val="0"/>
        <charset val="1"/>
      </rPr>
      <t xml:space="preserve">3</t>
    </r>
    <r>
      <rPr>
        <sz val="10"/>
        <rFont val="Noto Sans CJK SC"/>
        <family val="2"/>
      </rPr>
      <t xml:space="preserve">層）</t>
    </r>
  </si>
  <si>
    <t xml:space="preserve">一送ごとの確定値の開示までの営業日数（検針日または月末からの日数）と、一送の営業日の定義（年末年始の扱い）は何か。</t>
  </si>
  <si>
    <r>
      <rPr>
        <sz val="10"/>
        <rFont val="Noto Sans CJK SC"/>
        <family val="2"/>
      </rPr>
      <t xml:space="preserve">営業日カウンターで確定値の到着予定日を算出し、予定日＋</t>
    </r>
    <r>
      <rPr>
        <sz val="10"/>
        <rFont val="Yu Gothic"/>
        <family val="0"/>
        <charset val="1"/>
      </rPr>
      <t xml:space="preserve">3</t>
    </r>
    <r>
      <rPr>
        <sz val="10"/>
        <rFont val="Noto Sans CJK SC"/>
        <family val="2"/>
      </rPr>
      <t xml:space="preserve">営業日を超えたら通知する。</t>
    </r>
  </si>
  <si>
    <t xml:space="preserve">確定値の遅延を検知できない、または誤って検知する。</t>
  </si>
  <si>
    <t xml:space="preserve">マスタ追加（一送の営業日ルールを登録）</t>
  </si>
  <si>
    <t xml:space="preserve">F07-02</t>
  </si>
  <si>
    <t xml:space="preserve">検針サイクルをどう入手するか（一送の検針データから取得できるか、スマートメーターの締め日をどう扱うか）。訪問検針地点の扱い、一送公表の標準負荷プロファイルの入手先と区分、親子計量地点の表現はどうするか。</t>
  </si>
  <si>
    <r>
      <rPr>
        <sz val="10"/>
        <rFont val="Noto Sans CJK SC"/>
        <family val="2"/>
      </rPr>
      <t xml:space="preserve">検針サイクルを需要家ごとに持ち、訪問検針の地点は月次検針値を標準負荷プロファイルで</t>
    </r>
    <r>
      <rPr>
        <sz val="10"/>
        <rFont val="Yu Gothic"/>
        <family val="0"/>
        <charset val="1"/>
      </rPr>
      <t xml:space="preserve">30</t>
    </r>
    <r>
      <rPr>
        <sz val="10"/>
        <rFont val="Noto Sans CJK SC"/>
        <family val="2"/>
      </rPr>
      <t xml:space="preserve">分値に配分する。</t>
    </r>
  </si>
  <si>
    <t xml:space="preserve">業務担当者（料金担当・情報システム部）</t>
  </si>
  <si>
    <t xml:space="preserve">検針月基準の単価（賦課金など）が正しく適用できない。</t>
  </si>
  <si>
    <t xml:space="preserve">F07-03</t>
  </si>
  <si>
    <t xml:space="preserve">確定値は上書きせず、訂正は差分の追記とする運用に合意できるか。単価の更正は上書き＋影響日の再計算とする使い分けを運用手順に書けるか。</t>
  </si>
  <si>
    <t xml:space="preserve">実績の訂正は打ち消しと差分の追記、単価の更正は上書きと再計算で扱う。</t>
  </si>
  <si>
    <t xml:space="preserve">コンサルタント・業務担当者（需給管理部）</t>
  </si>
  <si>
    <t xml:space="preserve">確定済みの財務データが上書きされ、過去の決算と合わなくなる。</t>
  </si>
  <si>
    <t xml:space="preserve">F08-01</t>
  </si>
  <si>
    <t xml:space="preserve">F-08</t>
  </si>
  <si>
    <t xml:space="preserve">小売売上計算</t>
  </si>
  <si>
    <t xml:space="preserve">固定単価メニューで、需要家ごとの値引き・特約はあるか。</t>
  </si>
  <si>
    <t xml:space="preserve">需要家・地点単位の特約は市場連動メニューのパラメータにのみ適用できる。固定単価メニューの需要家別値引きは標準では表現できない。</t>
  </si>
  <si>
    <t xml:space="preserve">業務担当者（営業部・料金担当）</t>
  </si>
  <si>
    <t xml:space="preserve">特約のある需要家の売上が誤る。</t>
  </si>
  <si>
    <t xml:space="preserve">マスタ追加（顧客専用のメニューコードで運用）またはロジック改修（料金メニューの単価に上書き行を追加）</t>
  </si>
  <si>
    <t xml:space="preserve">F08-02</t>
  </si>
  <si>
    <t xml:space="preserve">市場連動メニューの単価の式と加算項（調達調整・小売固定手数料・業務管理費・容量拠出金の転嫁など）、上下限、特約の有無は標準の構造で表せるか。</t>
  </si>
  <si>
    <r>
      <rPr>
        <sz val="10"/>
        <rFont val="Noto Sans CJK SC"/>
        <family val="2"/>
      </rPr>
      <t xml:space="preserve">「</t>
    </r>
    <r>
      <rPr>
        <sz val="10"/>
        <rFont val="Yu Gothic"/>
        <family val="0"/>
        <charset val="1"/>
      </rPr>
      <t xml:space="preserve">JEPX</t>
    </r>
    <r>
      <rPr>
        <sz val="10"/>
        <rFont val="Noto Sans CJK SC"/>
        <family val="2"/>
      </rPr>
      <t xml:space="preserve">エリア価格 </t>
    </r>
    <r>
      <rPr>
        <sz val="10"/>
        <rFont val="Yu Gothic"/>
        <family val="0"/>
        <charset val="1"/>
      </rPr>
      <t xml:space="preserve">÷ (1 − </t>
    </r>
    <r>
      <rPr>
        <sz val="10"/>
        <rFont val="Noto Sans CJK SC"/>
        <family val="2"/>
      </rPr>
      <t xml:space="preserve">損失率</t>
    </r>
    <r>
      <rPr>
        <sz val="10"/>
        <rFont val="Yu Gothic"/>
        <family val="0"/>
        <charset val="1"/>
      </rPr>
      <t xml:space="preserve">) </t>
    </r>
    <r>
      <rPr>
        <sz val="10"/>
        <rFont val="Noto Sans CJK SC"/>
        <family val="2"/>
      </rPr>
      <t xml:space="preserve">＋ 託送従量 ＋ 各加算項」で算出し、地点特約＞需要家特約＞標準の優先で上書き、上下限で制限する。</t>
    </r>
  </si>
  <si>
    <t xml:space="preserve">市場連動メニューの売上が約款と合わない。</t>
  </si>
  <si>
    <t xml:space="preserve">設定（加算項の追加が必要な場合はロジック改修）</t>
  </si>
  <si>
    <t xml:space="preserve">F08-03</t>
  </si>
  <si>
    <t xml:space="preserve">料金メニューの体系（季節・時間帯区分、アンペア制、燃調の適用有無）は標準の構造で表せるか。</t>
  </si>
  <si>
    <t xml:space="preserve">固定単価メニューは季節・時間帯・休日で単価を判定し、燃調は固定単価メニューにのみ適用する。低圧のアンペア制に対応する。</t>
  </si>
  <si>
    <t xml:space="preserve">売上計算が約款と合わない。</t>
  </si>
  <si>
    <t xml:space="preserve">F09-01</t>
  </si>
  <si>
    <t xml:space="preserve">F-09</t>
  </si>
  <si>
    <t xml:space="preserve">実量制契約電力判定</t>
  </si>
  <si>
    <t xml:space="preserve">実量制の判定単位は地点単体か、複数地点のグループ合算か。グループの場合、その構成は何か。</t>
  </si>
  <si>
    <t xml:space="preserve">契約グループの有無で個別判定とグループ合算を切り替える。</t>
  </si>
  <si>
    <t xml:space="preserve">業務担当者（料金担当・営業部）</t>
  </si>
  <si>
    <t xml:space="preserve">基本料金の判定単位が変わり、請求額が変わる。</t>
  </si>
  <si>
    <t xml:space="preserve">F09-02</t>
  </si>
  <si>
    <t xml:space="preserve">グループ合算時の基本料金を地点にどう按分しているか。</t>
  </si>
  <si>
    <t xml:space="preserve">当月の地点別最大需要電力の比で按分する。約款に特異な定めがある場合は調整列で吸収する。</t>
  </si>
  <si>
    <t xml:space="preserve">地点別の粗利がずれる。</t>
  </si>
  <si>
    <t xml:space="preserve">設定（調整列）</t>
  </si>
  <si>
    <t xml:space="preserve">F10-01</t>
  </si>
  <si>
    <t xml:space="preserve">F-10</t>
  </si>
  <si>
    <t xml:space="preserve">調達原価計算</t>
  </si>
  <si>
    <r>
      <rPr>
        <sz val="10"/>
        <rFont val="Noto Sans CJK SC"/>
        <family val="2"/>
      </rPr>
      <t xml:space="preserve">相対・</t>
    </r>
    <r>
      <rPr>
        <sz val="10"/>
        <rFont val="Yu Gothic"/>
        <family val="0"/>
        <charset val="1"/>
      </rPr>
      <t xml:space="preserve">PPA </t>
    </r>
    <r>
      <rPr>
        <sz val="10"/>
        <rFont val="Noto Sans CJK SC"/>
        <family val="2"/>
      </rPr>
      <t xml:space="preserve">の精算方式（フィジカル／バーチャル、差金決済の基準価格）は契約ごとにどうなっているか。</t>
    </r>
  </si>
  <si>
    <r>
      <rPr>
        <sz val="10"/>
        <rFont val="Noto Sans CJK SC"/>
        <family val="2"/>
      </rPr>
      <t xml:space="preserve">フィジカルは固定単価の引取、バーチャルは契約単価と</t>
    </r>
    <r>
      <rPr>
        <sz val="10"/>
        <rFont val="Yu Gothic"/>
        <family val="0"/>
        <charset val="1"/>
      </rPr>
      <t xml:space="preserve">JEPX</t>
    </r>
    <r>
      <rPr>
        <sz val="10"/>
        <rFont val="Noto Sans CJK SC"/>
        <family val="2"/>
      </rPr>
      <t xml:space="preserve">エリア価格の差金のみを原価に含める。</t>
    </r>
  </si>
  <si>
    <r>
      <rPr>
        <sz val="10"/>
        <rFont val="Noto Sans CJK SC"/>
        <family val="2"/>
      </rPr>
      <t xml:space="preserve">電気代を二重に計上する（</t>
    </r>
    <r>
      <rPr>
        <sz val="10"/>
        <rFont val="Yu Gothic"/>
        <family val="0"/>
        <charset val="1"/>
      </rPr>
      <t xml:space="preserve">VPPA </t>
    </r>
    <r>
      <rPr>
        <sz val="10"/>
        <rFont val="Noto Sans CJK SC"/>
        <family val="2"/>
      </rPr>
      <t xml:space="preserve">の契約単価を原価に足すなど）。</t>
    </r>
  </si>
  <si>
    <t xml:space="preserve">F10-02</t>
  </si>
  <si>
    <r>
      <rPr>
        <sz val="10"/>
        <rFont val="Noto Sans CJK SC"/>
        <family val="2"/>
      </rPr>
      <t xml:space="preserve">相対・</t>
    </r>
    <r>
      <rPr>
        <sz val="10"/>
        <rFont val="Yu Gothic"/>
        <family val="0"/>
        <charset val="1"/>
      </rPr>
      <t xml:space="preserve">PPA </t>
    </r>
    <r>
      <rPr>
        <sz val="10"/>
        <rFont val="Noto Sans CJK SC"/>
        <family val="2"/>
      </rPr>
      <t xml:space="preserve">の契約項目は、標準の相対・</t>
    </r>
    <r>
      <rPr>
        <sz val="10"/>
        <rFont val="Yu Gothic"/>
        <family val="0"/>
        <charset val="1"/>
      </rPr>
      <t xml:space="preserve">PPA</t>
    </r>
    <r>
      <rPr>
        <sz val="10"/>
        <rFont val="Noto Sans CJK SC"/>
        <family val="2"/>
      </rPr>
      <t xml:space="preserve">調達契約マスタと精算明細の項目で足りるか。</t>
    </r>
  </si>
  <si>
    <r>
      <rPr>
        <sz val="10"/>
        <rFont val="Noto Sans CJK SC"/>
        <family val="2"/>
      </rPr>
      <t xml:space="preserve">契約種別（相対／</t>
    </r>
    <r>
      <rPr>
        <sz val="10"/>
        <rFont val="Yu Gothic"/>
        <family val="0"/>
        <charset val="1"/>
      </rPr>
      <t xml:space="preserve">PPA</t>
    </r>
    <r>
      <rPr>
        <sz val="10"/>
        <rFont val="Noto Sans CJK SC"/>
        <family val="2"/>
      </rPr>
      <t xml:space="preserve">／先物）、相手先、税区分、精算明細（受渡量・単価・受領時税区分）を持つ。</t>
    </r>
  </si>
  <si>
    <t xml:space="preserve">契約の条件が表現できず、原価が計算できない。</t>
  </si>
  <si>
    <t xml:space="preserve">ロジック改修（項目の追加）</t>
  </si>
  <si>
    <t xml:space="preserve">F10-03</t>
  </si>
  <si>
    <t xml:space="preserve">電力先物を利用しているか。利用している商品（ベース・日中ロード）は何か。</t>
  </si>
  <si>
    <t xml:space="preserve">先物の差金を商品特性に応じてコマへ割り戻し、調達原価に含める。日中ロードは取引所営業日のみ。</t>
  </si>
  <si>
    <t xml:space="preserve">ヘッジ効果が損益に反映されない。</t>
  </si>
  <si>
    <t xml:space="preserve">F10-04</t>
  </si>
  <si>
    <r>
      <rPr>
        <sz val="10"/>
        <rFont val="Noto Sans CJK SC"/>
        <family val="2"/>
      </rPr>
      <t xml:space="preserve">公的な資金の流れ（賦課金は預かって流すだけ、</t>
    </r>
    <r>
      <rPr>
        <sz val="10"/>
        <rFont val="Yu Gothic"/>
        <family val="0"/>
        <charset val="1"/>
      </rPr>
      <t xml:space="preserve">FIP </t>
    </r>
    <r>
      <rPr>
        <sz val="10"/>
        <rFont val="Noto Sans CJK SC"/>
        <family val="2"/>
      </rPr>
      <t xml:space="preserve">プレミアム・バランシングコストは交付金で不課税、差金決済も不課税）を区別して扱うことに合意できるか。</t>
    </r>
  </si>
  <si>
    <t xml:space="preserve">課税・不課税を区別して保持し、混在させない。</t>
  </si>
  <si>
    <t xml:space="preserve">コンサルタント・業務担当者（経理部）</t>
  </si>
  <si>
    <t xml:space="preserve">課税・不課税を混ぜると消費税の申告を誤る。</t>
  </si>
  <si>
    <t xml:space="preserve">F11-01</t>
  </si>
  <si>
    <t xml:space="preserve">F-11</t>
  </si>
  <si>
    <r>
      <rPr>
        <sz val="10"/>
        <rFont val="Noto Sans CJK SC"/>
        <family val="2"/>
      </rPr>
      <t xml:space="preserve">インバランス算定・</t>
    </r>
    <r>
      <rPr>
        <sz val="10"/>
        <rFont val="Yu Gothic"/>
        <family val="0"/>
        <charset val="1"/>
      </rPr>
      <t xml:space="preserve">BG</t>
    </r>
    <r>
      <rPr>
        <sz val="10"/>
        <rFont val="Noto Sans CJK SC"/>
        <family val="2"/>
      </rPr>
      <t xml:space="preserve">按分</t>
    </r>
  </si>
  <si>
    <r>
      <rPr>
        <sz val="10"/>
        <rFont val="Noto Sans CJK SC"/>
        <family val="2"/>
      </rPr>
      <t xml:space="preserve">コンソーシアム</t>
    </r>
    <r>
      <rPr>
        <sz val="10"/>
        <rFont val="Yu Gothic"/>
        <family val="0"/>
        <charset val="1"/>
      </rPr>
      <t xml:space="preserve">BG </t>
    </r>
    <r>
      <rPr>
        <sz val="10"/>
        <rFont val="Noto Sans CJK SC"/>
        <family val="2"/>
      </rPr>
      <t xml:space="preserve">の規約・運営協定書に定める按分方式、端数負担者、免責、責任上限、運営手数料は何か。構成員が入手できるデータの範囲はどこまでか。</t>
    </r>
  </si>
  <si>
    <r>
      <rPr>
        <sz val="10"/>
        <rFont val="Noto Sans CJK SC"/>
        <family val="2"/>
      </rPr>
      <t xml:space="preserve">按分方式は単純比率・固定シェア・原因者負担・個別精算に対応し、端数は免責でない最大インバランス者が負担する。</t>
    </r>
    <r>
      <rPr>
        <sz val="10"/>
        <rFont val="Yu Gothic"/>
        <family val="0"/>
        <charset val="1"/>
      </rPr>
      <t xml:space="preserve">BG </t>
    </r>
    <r>
      <rPr>
        <sz val="10"/>
        <rFont val="Noto Sans CJK SC"/>
        <family val="2"/>
      </rPr>
      <t xml:space="preserve">規約が唯一の正。</t>
    </r>
  </si>
  <si>
    <r>
      <rPr>
        <sz val="10"/>
        <rFont val="Noto Sans CJK SC"/>
        <family val="2"/>
      </rPr>
      <t xml:space="preserve">業務担当者（需給管理部）・</t>
    </r>
    <r>
      <rPr>
        <sz val="10"/>
        <rFont val="Yu Gothic"/>
        <family val="0"/>
        <charset val="1"/>
      </rPr>
      <t xml:space="preserve">BG </t>
    </r>
    <r>
      <rPr>
        <sz val="10"/>
        <rFont val="Noto Sans CJK SC"/>
        <family val="2"/>
      </rPr>
      <t xml:space="preserve">代表者</t>
    </r>
  </si>
  <si>
    <t xml:space="preserve">按分結果が協定と食い違い、内部精算に使えない。方式が変わると過去分の再計算が必要になる。</t>
  </si>
  <si>
    <t xml:space="preserve">設定（端数負担の順序や月次の上限処理が標準と異なる場合はロジック改修）</t>
  </si>
  <si>
    <t xml:space="preserve">F11-02</t>
  </si>
  <si>
    <t xml:space="preserve">按分方式の実装範囲をどうするか。個別精算（ハイブリッド）を規約ごとのパラメータで表すか、個別に実装するか。</t>
  </si>
  <si>
    <t xml:space="preserve">単純比率・固定シェア・原因者負担を標準で持ち、ハイブリッドはパラメータで表す。</t>
  </si>
  <si>
    <r>
      <rPr>
        <sz val="10"/>
        <rFont val="Noto Sans CJK SC"/>
        <family val="2"/>
      </rPr>
      <t xml:space="preserve">コンサルタント・</t>
    </r>
    <r>
      <rPr>
        <sz val="10"/>
        <rFont val="Yu Gothic"/>
        <family val="0"/>
        <charset val="1"/>
      </rPr>
      <t xml:space="preserve">SE</t>
    </r>
  </si>
  <si>
    <t xml:space="preserve">規約の追加のたびに改修が発生する。</t>
  </si>
  <si>
    <t xml:space="preserve">F11-03</t>
  </si>
  <si>
    <t xml:space="preserve">需給ひっ迫時の運用（デマンドレスポンス・調整力）の精算を本基盤で扱う必要があるか。</t>
  </si>
  <si>
    <r>
      <rPr>
        <sz val="10"/>
        <rFont val="Noto Sans CJK SC"/>
        <family val="2"/>
      </rPr>
      <t xml:space="preserve">調整力の </t>
    </r>
    <r>
      <rPr>
        <sz val="10"/>
        <rFont val="Yu Gothic"/>
        <family val="0"/>
        <charset val="1"/>
      </rPr>
      <t xml:space="preserve">kWh </t>
    </r>
    <r>
      <rPr>
        <sz val="10"/>
        <rFont val="Noto Sans CJK SC"/>
        <family val="2"/>
      </rPr>
      <t xml:space="preserve">精算と </t>
    </r>
    <r>
      <rPr>
        <sz val="10"/>
        <rFont val="Yu Gothic"/>
        <family val="0"/>
        <charset val="1"/>
      </rPr>
      <t xml:space="preserve">DR </t>
    </r>
    <r>
      <rPr>
        <sz val="10"/>
        <rFont val="Noto Sans CJK SC"/>
        <family val="2"/>
      </rPr>
      <t xml:space="preserve">実績は標準の対象外。</t>
    </r>
  </si>
  <si>
    <r>
      <rPr>
        <sz val="10"/>
        <rFont val="Yu Gothic"/>
        <family val="0"/>
        <charset val="1"/>
      </rPr>
      <t xml:space="preserve">DR</t>
    </r>
    <r>
      <rPr>
        <sz val="10"/>
        <rFont val="Noto Sans CJK SC"/>
        <family val="2"/>
      </rPr>
      <t xml:space="preserve">・調整力の損益が日報に反映されない。</t>
    </r>
  </si>
  <si>
    <r>
      <rPr>
        <sz val="10"/>
        <rFont val="Noto Sans CJK SC"/>
        <family val="2"/>
      </rPr>
      <t xml:space="preserve">ロジック改修（</t>
    </r>
    <r>
      <rPr>
        <sz val="10"/>
        <rFont val="Yu Gothic"/>
        <family val="0"/>
        <charset val="1"/>
      </rPr>
      <t xml:space="preserve">DR </t>
    </r>
    <r>
      <rPr>
        <sz val="10"/>
        <rFont val="Noto Sans CJK SC"/>
        <family val="2"/>
      </rPr>
      <t xml:space="preserve">実績のデータ追加）</t>
    </r>
  </si>
  <si>
    <t xml:space="preserve">F12-01</t>
  </si>
  <si>
    <t xml:space="preserve">F-12</t>
  </si>
  <si>
    <r>
      <rPr>
        <sz val="10"/>
        <rFont val="Noto Sans CJK SC"/>
        <family val="2"/>
      </rPr>
      <t xml:space="preserve">発電収支（</t>
    </r>
    <r>
      <rPr>
        <sz val="10"/>
        <rFont val="Yu Gothic"/>
        <family val="0"/>
        <charset val="1"/>
      </rPr>
      <t xml:space="preserve">FIP</t>
    </r>
    <r>
      <rPr>
        <sz val="10"/>
        <rFont val="Noto Sans CJK SC"/>
        <family val="2"/>
      </rPr>
      <t xml:space="preserve">・発電側課金）</t>
    </r>
  </si>
  <si>
    <r>
      <rPr>
        <sz val="10"/>
        <rFont val="Noto Sans CJK SC"/>
        <family val="2"/>
      </rPr>
      <t xml:space="preserve">試運転期間の制度上の扱いは何か。試運転中の売電と代金の収受の可否、</t>
    </r>
    <r>
      <rPr>
        <sz val="10"/>
        <rFont val="Yu Gothic"/>
        <family val="0"/>
        <charset val="1"/>
      </rPr>
      <t xml:space="preserve">FIP </t>
    </r>
    <r>
      <rPr>
        <sz val="10"/>
        <rFont val="Noto Sans CJK SC"/>
        <family val="2"/>
      </rPr>
      <t xml:space="preserve">交付金の起算日、発電側課金の起算、試運転期間中の計画提出義務とインバランス精算の適用範囲、試運転開始日・商業運転開始日を取得する記録を確認したか。</t>
    </r>
  </si>
  <si>
    <t xml:space="preserve">試運転期間の売電の扱い（計上／除外）と発電側課金の起算基準を地点ごとに設定する。</t>
  </si>
  <si>
    <t xml:space="preserve">発電収支が試運転期間分だけずれる。</t>
  </si>
  <si>
    <t xml:space="preserve">F12-02</t>
  </si>
  <si>
    <t xml:space="preserve">試運転期間中の売電を売上に計上するか（地点ごとに計上／除外）。判断の根拠（認定内容・系統連系契約）も記録する。</t>
  </si>
  <si>
    <t xml:space="preserve">地点ごとに計上／除外を設定する。</t>
  </si>
  <si>
    <t xml:space="preserve">業務担当者（電源開発部・経理部）</t>
  </si>
  <si>
    <t xml:space="preserve">発電収支が試運転期間分だけ過大または過小になる。後から変えると当該期間の日報・月次をすべて再計算する必要がある。</t>
  </si>
  <si>
    <t xml:space="preserve">F12-03</t>
  </si>
  <si>
    <t xml:space="preserve">試運転開始日・商業運転開始日を、どの記録から取得するか（連系工事完了通知、使用前自己確認結果届出、事業計画認定通知、社内の運転引渡書のいずれか）。取得の責任部署と登録のタイミングは。</t>
  </si>
  <si>
    <t xml:space="preserve">発電受給地点マスタに試運転開始日・商業運転開始日を持つ。</t>
  </si>
  <si>
    <t xml:space="preserve">業務担当者（電源開発部・運転管理部門）</t>
  </si>
  <si>
    <t xml:space="preserve">日付が登録されないと試運転期間を判定できず、全期間が通常運転として扱われる。</t>
  </si>
  <si>
    <t xml:space="preserve">F12-04</t>
  </si>
  <si>
    <r>
      <rPr>
        <sz val="10"/>
        <rFont val="Yu Gothic"/>
        <family val="0"/>
        <charset val="1"/>
      </rPr>
      <t xml:space="preserve">FIP </t>
    </r>
    <r>
      <rPr>
        <sz val="10"/>
        <rFont val="Noto Sans CJK SC"/>
        <family val="2"/>
      </rPr>
      <t xml:space="preserve">交付金の起算日を商業運転開始日としてよいか。認定上の別の起算日がある場合はその定義は。</t>
    </r>
  </si>
  <si>
    <r>
      <rPr>
        <sz val="10"/>
        <rFont val="Yu Gothic"/>
        <family val="0"/>
        <charset val="1"/>
      </rPr>
      <t xml:space="preserve">FIP </t>
    </r>
    <r>
      <rPr>
        <sz val="10"/>
        <rFont val="Noto Sans CJK SC"/>
        <family val="2"/>
      </rPr>
      <t xml:space="preserve">交付金は商業運転開始日から計上する。</t>
    </r>
  </si>
  <si>
    <t xml:space="preserve">運転開始前の発電にプレミアムが計上され、交付金が過大になる。</t>
  </si>
  <si>
    <t xml:space="preserve">F12-05</t>
  </si>
  <si>
    <t xml:space="preserve">発電側課金の起算は系統連系日か、商業運転開始日か（一送ごと）。</t>
  </si>
  <si>
    <t xml:space="preserve">発電側課金の起算基準を地点ごとに設定する。</t>
  </si>
  <si>
    <t xml:space="preserve">業務担当者（電源開発部）・一送</t>
  </si>
  <si>
    <t xml:space="preserve">発電所の原価が試運転期間分ずれる。</t>
  </si>
  <si>
    <t xml:space="preserve">F12-06</t>
  </si>
  <si>
    <r>
      <rPr>
        <sz val="10"/>
        <rFont val="Yu Gothic"/>
        <family val="0"/>
        <charset val="1"/>
      </rPr>
      <t xml:space="preserve">FIP </t>
    </r>
    <r>
      <rPr>
        <sz val="10"/>
        <rFont val="Noto Sans CJK SC"/>
        <family val="2"/>
      </rPr>
      <t xml:space="preserve">参照価格（</t>
    </r>
    <r>
      <rPr>
        <sz val="10"/>
        <rFont val="Yu Gothic"/>
        <family val="0"/>
        <charset val="1"/>
      </rPr>
      <t xml:space="preserve">A</t>
    </r>
    <r>
      <rPr>
        <sz val="10"/>
        <rFont val="Noto Sans CJK SC"/>
        <family val="2"/>
      </rPr>
      <t xml:space="preserve">値）の確定値の公表時期と、バランシングコスト・激変緩和措置の適用年度は何か。</t>
    </r>
  </si>
  <si>
    <r>
      <rPr>
        <sz val="10"/>
        <rFont val="Yu Gothic"/>
        <family val="0"/>
        <charset val="1"/>
      </rPr>
      <t xml:space="preserve">A</t>
    </r>
    <r>
      <rPr>
        <sz val="10"/>
        <rFont val="Noto Sans CJK SC"/>
        <family val="2"/>
      </rPr>
      <t xml:space="preserve">値は月中は暫定、公表後に確定値で再計算する。バランシングコストは</t>
    </r>
    <r>
      <rPr>
        <sz val="10"/>
        <rFont val="Yu Gothic"/>
        <family val="0"/>
        <charset val="1"/>
      </rPr>
      <t xml:space="preserve">4</t>
    </r>
    <r>
      <rPr>
        <sz val="10"/>
        <rFont val="Noto Sans CJK SC"/>
        <family val="2"/>
      </rPr>
      <t xml:space="preserve">軸のマスタで持つ。</t>
    </r>
  </si>
  <si>
    <r>
      <rPr>
        <sz val="10"/>
        <rFont val="Yu Gothic"/>
        <family val="0"/>
        <charset val="1"/>
      </rPr>
      <t xml:space="preserve">FIP </t>
    </r>
    <r>
      <rPr>
        <sz val="10"/>
        <rFont val="Noto Sans CJK SC"/>
        <family val="2"/>
      </rPr>
      <t xml:space="preserve">の月次収支が確定しない。</t>
    </r>
  </si>
  <si>
    <t xml:space="preserve">F12-07</t>
  </si>
  <si>
    <r>
      <rPr>
        <sz val="10"/>
        <rFont val="Noto Sans CJK SC"/>
        <family val="2"/>
      </rPr>
      <t xml:space="preserve">発電側課金の単価（円</t>
    </r>
    <r>
      <rPr>
        <sz val="10"/>
        <rFont val="Yu Gothic"/>
        <family val="0"/>
        <charset val="1"/>
      </rPr>
      <t xml:space="preserve">/kW</t>
    </r>
    <r>
      <rPr>
        <sz val="10"/>
        <rFont val="Noto Sans CJK SC"/>
        <family val="2"/>
      </rPr>
      <t xml:space="preserve">・月）と従量分の有無、割引区分は何か。</t>
    </r>
  </si>
  <si>
    <r>
      <rPr>
        <sz val="10"/>
        <rFont val="Noto Sans CJK SC"/>
        <family val="2"/>
      </rPr>
      <t xml:space="preserve">契約出力 </t>
    </r>
    <r>
      <rPr>
        <sz val="10"/>
        <rFont val="Yu Gothic"/>
        <family val="0"/>
        <charset val="1"/>
      </rPr>
      <t xml:space="preserve">× </t>
    </r>
    <r>
      <rPr>
        <sz val="10"/>
        <rFont val="Noto Sans CJK SC"/>
        <family val="2"/>
      </rPr>
      <t xml:space="preserve">単価 </t>
    </r>
    <r>
      <rPr>
        <sz val="10"/>
        <rFont val="Yu Gothic"/>
        <family val="0"/>
        <charset val="1"/>
      </rPr>
      <t xml:space="preserve">× (1 − </t>
    </r>
    <r>
      <rPr>
        <sz val="10"/>
        <rFont val="Noto Sans CJK SC"/>
        <family val="2"/>
      </rPr>
      <t xml:space="preserve">割引率</t>
    </r>
    <r>
      <rPr>
        <sz val="10"/>
        <rFont val="Yu Gothic"/>
        <family val="0"/>
        <charset val="1"/>
      </rPr>
      <t xml:space="preserve">) </t>
    </r>
    <r>
      <rPr>
        <sz val="10"/>
        <rFont val="Noto Sans CJK SC"/>
        <family val="2"/>
      </rPr>
      <t xml:space="preserve">の月割試算と従量分を発電行の原価に計上する。</t>
    </r>
  </si>
  <si>
    <t xml:space="preserve">発電所の原価がずれる。</t>
  </si>
  <si>
    <t xml:space="preserve">F13-01</t>
  </si>
  <si>
    <t xml:space="preserve">F-13</t>
  </si>
  <si>
    <t xml:space="preserve">日報損益（利益階層）</t>
  </si>
  <si>
    <r>
      <rPr>
        <sz val="10"/>
        <rFont val="Noto Sans CJK SC"/>
        <family val="2"/>
      </rPr>
      <t xml:space="preserve">日報の粒度と集計軸（日</t>
    </r>
    <r>
      <rPr>
        <sz val="10"/>
        <rFont val="Yu Gothic"/>
        <family val="0"/>
        <charset val="1"/>
      </rPr>
      <t xml:space="preserve">×30</t>
    </r>
    <r>
      <rPr>
        <sz val="10"/>
        <rFont val="Noto Sans CJK SC"/>
        <family val="2"/>
      </rPr>
      <t xml:space="preserve">分コマ</t>
    </r>
    <r>
      <rPr>
        <sz val="10"/>
        <rFont val="Yu Gothic"/>
        <family val="0"/>
        <charset val="1"/>
      </rPr>
      <t xml:space="preserve">×</t>
    </r>
    <r>
      <rPr>
        <sz val="10"/>
        <rFont val="Noto Sans CJK SC"/>
        <family val="2"/>
      </rPr>
      <t xml:space="preserve">エリア</t>
    </r>
    <r>
      <rPr>
        <sz val="10"/>
        <rFont val="Yu Gothic"/>
        <family val="0"/>
        <charset val="1"/>
      </rPr>
      <t xml:space="preserve">×BG×</t>
    </r>
    <r>
      <rPr>
        <sz val="10"/>
        <rFont val="Noto Sans CJK SC"/>
        <family val="2"/>
      </rPr>
      <t xml:space="preserve">流向</t>
    </r>
    <r>
      <rPr>
        <sz val="10"/>
        <rFont val="Yu Gothic"/>
        <family val="0"/>
        <charset val="1"/>
      </rPr>
      <t xml:space="preserve">×</t>
    </r>
    <r>
      <rPr>
        <sz val="10"/>
        <rFont val="Noto Sans CJK SC"/>
        <family val="2"/>
      </rPr>
      <t xml:space="preserve">セグメント</t>
    </r>
    <r>
      <rPr>
        <sz val="10"/>
        <rFont val="Yu Gothic"/>
        <family val="0"/>
        <charset val="1"/>
      </rPr>
      <t xml:space="preserve">×</t>
    </r>
    <r>
      <rPr>
        <sz val="10"/>
        <rFont val="Noto Sans CJK SC"/>
        <family val="2"/>
      </rPr>
      <t xml:space="preserve">メニュー種別）で合意できるか。追加したい軸はあるか。</t>
    </r>
  </si>
  <si>
    <r>
      <rPr>
        <sz val="10"/>
        <rFont val="Noto Sans CJK SC"/>
        <family val="2"/>
      </rPr>
      <t xml:space="preserve">標準の粒度は日</t>
    </r>
    <r>
      <rPr>
        <sz val="10"/>
        <rFont val="Yu Gothic"/>
        <family val="0"/>
        <charset val="1"/>
      </rPr>
      <t xml:space="preserve">×30</t>
    </r>
    <r>
      <rPr>
        <sz val="10"/>
        <rFont val="Noto Sans CJK SC"/>
        <family val="2"/>
      </rPr>
      <t xml:space="preserve">分コマ</t>
    </r>
    <r>
      <rPr>
        <sz val="10"/>
        <rFont val="Yu Gothic"/>
        <family val="0"/>
        <charset val="1"/>
      </rPr>
      <t xml:space="preserve">×</t>
    </r>
    <r>
      <rPr>
        <sz val="10"/>
        <rFont val="Noto Sans CJK SC"/>
        <family val="2"/>
      </rPr>
      <t xml:space="preserve">エリア</t>
    </r>
    <r>
      <rPr>
        <sz val="10"/>
        <rFont val="Yu Gothic"/>
        <family val="0"/>
        <charset val="1"/>
      </rPr>
      <t xml:space="preserve">×BG×</t>
    </r>
    <r>
      <rPr>
        <sz val="10"/>
        <rFont val="Noto Sans CJK SC"/>
        <family val="2"/>
      </rPr>
      <t xml:space="preserve">流向</t>
    </r>
    <r>
      <rPr>
        <sz val="10"/>
        <rFont val="Yu Gothic"/>
        <family val="0"/>
        <charset val="1"/>
      </rPr>
      <t xml:space="preserve">×</t>
    </r>
    <r>
      <rPr>
        <sz val="10"/>
        <rFont val="Noto Sans CJK SC"/>
        <family val="2"/>
      </rPr>
      <t xml:space="preserve">セグメント</t>
    </r>
    <r>
      <rPr>
        <sz val="10"/>
        <rFont val="Yu Gothic"/>
        <family val="0"/>
        <charset val="1"/>
      </rPr>
      <t xml:space="preserve">×</t>
    </r>
    <r>
      <rPr>
        <sz val="10"/>
        <rFont val="Noto Sans CJK SC"/>
        <family val="2"/>
      </rPr>
      <t xml:space="preserve">メニュー種別。</t>
    </r>
  </si>
  <si>
    <t xml:space="preserve">コンサルタント・管理者（需給・料金・経理）</t>
  </si>
  <si>
    <t xml:space="preserve">後から軸を足すと、全マートの作り直しになる。</t>
  </si>
  <si>
    <t xml:space="preserve">ロジック改修（軸の追加は大規模）</t>
  </si>
  <si>
    <t xml:space="preserve">F13-02</t>
  </si>
  <si>
    <t xml:space="preserve">経営・部門の評価にどの利益階層を使うか（需給部門はコマ限界利益、事業の主軸は調整後売上総利益、など）。</t>
  </si>
  <si>
    <r>
      <rPr>
        <sz val="10"/>
        <rFont val="Noto Sans CJK SC"/>
        <family val="2"/>
      </rPr>
      <t xml:space="preserve">利益は</t>
    </r>
    <r>
      <rPr>
        <sz val="10"/>
        <rFont val="Yu Gothic"/>
        <family val="0"/>
        <charset val="1"/>
      </rPr>
      <t xml:space="preserve">5</t>
    </r>
    <r>
      <rPr>
        <sz val="10"/>
        <rFont val="Noto Sans CJK SC"/>
        <family val="2"/>
      </rPr>
      <t xml:space="preserve">階層で管理し、基盤ではコマ限界利益と調整後売上総利益を計算する。営業利益・経常利益は対象外。</t>
    </r>
  </si>
  <si>
    <t xml:space="preserve">経営者・管理者</t>
  </si>
  <si>
    <t xml:space="preserve">部門の評価指標が定まらず、画面の設計が決まらない。</t>
  </si>
  <si>
    <t xml:space="preserve">F13-03</t>
  </si>
  <si>
    <t xml:space="preserve">既存の日報と、費目の定義・計算順序に違いはあるか。</t>
  </si>
  <si>
    <t xml:space="preserve">費目別総額の和で売上・原価を持ち、合成単価を作らない。</t>
  </si>
  <si>
    <t xml:space="preserve">業務担当者（需給管理部・経理部）</t>
  </si>
  <si>
    <t xml:space="preserve">並行運用で既存日報と一致せず、商用開始の判断ができない。</t>
  </si>
  <si>
    <t xml:space="preserve">運用で回避（差異を「本基盤が正しい」「既存が正しい」「定義差」に分類）</t>
  </si>
  <si>
    <t xml:space="preserve">F14-01</t>
  </si>
  <si>
    <t xml:space="preserve">F-14</t>
  </si>
  <si>
    <t xml:space="preserve">検算・品質ゲートと公開</t>
  </si>
  <si>
    <t xml:space="preserve">検算を通った日だけ分析画面に出すことに合意できるか。日報の公開時刻の目標は何時か。</t>
  </si>
  <si>
    <r>
      <rPr>
        <sz val="10"/>
        <rFont val="Noto Sans CJK SC"/>
        <family val="2"/>
      </rPr>
      <t xml:space="preserve">検算 → 抽出 → 公開を直列化する。日報は毎日 </t>
    </r>
    <r>
      <rPr>
        <sz val="10"/>
        <rFont val="Yu Gothic"/>
        <family val="0"/>
        <charset val="1"/>
      </rPr>
      <t xml:space="preserve">07:00 </t>
    </r>
    <r>
      <rPr>
        <sz val="10"/>
        <rFont val="Noto Sans CJK SC"/>
        <family val="2"/>
      </rPr>
      <t xml:space="preserve">に生成し、</t>
    </r>
    <r>
      <rPr>
        <sz val="10"/>
        <rFont val="Yu Gothic"/>
        <family val="0"/>
        <charset val="1"/>
      </rPr>
      <t xml:space="preserve">08:15 </t>
    </r>
    <r>
      <rPr>
        <sz val="10"/>
        <rFont val="Noto Sans CJK SC"/>
        <family val="2"/>
      </rPr>
      <t xml:space="preserve">の公開を目標とする。</t>
    </r>
  </si>
  <si>
    <t xml:space="preserve">管理者・業務担当者（需給管理部）</t>
  </si>
  <si>
    <t xml:space="preserve">誤った数字が経営に届く、または公開が遅れて使われない。</t>
  </si>
  <si>
    <t xml:space="preserve">設定（公開時刻）</t>
  </si>
  <si>
    <t xml:space="preserve">F14-02</t>
  </si>
  <si>
    <t xml:space="preserve">検算の許容差（電力量の突合・金額の突合）をどう設定するか。</t>
  </si>
  <si>
    <r>
      <rPr>
        <sz val="10"/>
        <rFont val="Noto Sans CJK SC"/>
        <family val="2"/>
      </rPr>
      <t xml:space="preserve">金額の突合は</t>
    </r>
    <r>
      <rPr>
        <sz val="10"/>
        <rFont val="Yu Gothic"/>
        <family val="0"/>
        <charset val="1"/>
      </rPr>
      <t xml:space="preserve">1</t>
    </r>
    <r>
      <rPr>
        <sz val="10"/>
        <rFont val="Noto Sans CJK SC"/>
        <family val="2"/>
      </rPr>
      <t xml:space="preserve">円単位の一致を目標とする。</t>
    </r>
  </si>
  <si>
    <r>
      <rPr>
        <sz val="10"/>
        <rFont val="Noto Sans CJK SC"/>
        <family val="2"/>
      </rPr>
      <t xml:space="preserve">検算が常に </t>
    </r>
    <r>
      <rPr>
        <sz val="10"/>
        <rFont val="Yu Gothic"/>
        <family val="0"/>
        <charset val="1"/>
      </rPr>
      <t xml:space="preserve">NG </t>
    </r>
    <r>
      <rPr>
        <sz val="10"/>
        <rFont val="Noto Sans CJK SC"/>
        <family val="2"/>
      </rPr>
      <t xml:space="preserve">になる、または異常を見逃す。</t>
    </r>
  </si>
  <si>
    <t xml:space="preserve">F15-01</t>
  </si>
  <si>
    <t xml:space="preserve">F-15</t>
  </si>
  <si>
    <t xml:space="preserve">月次確定・精算</t>
  </si>
  <si>
    <r>
      <rPr>
        <sz val="10"/>
        <rFont val="Noto Sans CJK SC"/>
        <family val="2"/>
      </rPr>
      <t xml:space="preserve">請求元ごとの丸め方式（</t>
    </r>
    <r>
      <rPr>
        <sz val="10"/>
        <rFont val="Yu Gothic"/>
        <family val="0"/>
        <charset val="1"/>
      </rPr>
      <t xml:space="preserve">JEPX </t>
    </r>
    <r>
      <rPr>
        <sz val="10"/>
        <rFont val="Noto Sans CJK SC"/>
        <family val="2"/>
      </rPr>
      <t xml:space="preserve">約定額の税込丸め、一送託送料金の月次丸め、インバランス精算書、容量拠出金）の対象・方式・単位・税の丸め位置は何か。</t>
    </r>
  </si>
  <si>
    <t xml:space="preserve">生データ層・事実ファクト層では丸めず、集計マート層の月次精算で精算丸めルールマスタの方式に従う。</t>
  </si>
  <si>
    <r>
      <rPr>
        <sz val="10"/>
        <rFont val="Noto Sans CJK SC"/>
        <family val="2"/>
      </rPr>
      <t xml:space="preserve">月次の請求突合が</t>
    </r>
    <r>
      <rPr>
        <sz val="10"/>
        <rFont val="Yu Gothic"/>
        <family val="0"/>
        <charset val="1"/>
      </rPr>
      <t xml:space="preserve">1</t>
    </r>
    <r>
      <rPr>
        <sz val="10"/>
        <rFont val="Noto Sans CJK SC"/>
        <family val="2"/>
      </rPr>
      <t xml:space="preserve">円単位で合わない。</t>
    </r>
  </si>
  <si>
    <t xml:space="preserve">マスタ追加（ルールマスタへの登録のみ）</t>
  </si>
  <si>
    <t xml:space="preserve">F15-02</t>
  </si>
  <si>
    <t xml:space="preserve">再エネ賦課金の丸め方式（請求システムの計算順序と切捨ての位置）は何か。</t>
  </si>
  <si>
    <r>
      <rPr>
        <sz val="10"/>
        <rFont val="Noto Sans CJK SC"/>
        <family val="2"/>
      </rPr>
      <t xml:space="preserve">税込のまま月合算 → </t>
    </r>
    <r>
      <rPr>
        <sz val="10"/>
        <rFont val="Yu Gothic"/>
        <family val="0"/>
        <charset val="1"/>
      </rPr>
      <t xml:space="preserve">1</t>
    </r>
    <r>
      <rPr>
        <sz val="10"/>
        <rFont val="Noto Sans CJK SC"/>
        <family val="2"/>
      </rPr>
      <t xml:space="preserve">円未満切捨て → 税抜化（切捨て以外は精算丸めルールで切替）。</t>
    </r>
  </si>
  <si>
    <t xml:space="preserve">業務担当者（経理部・請求システム担当）</t>
  </si>
  <si>
    <t xml:space="preserve">F15-03</t>
  </si>
  <si>
    <t xml:space="preserve">締め済みの会計期間を再計算する場合の承認フローをどうするか。誰が承認し、差額をどう扱うか（翌期修正の閾値）。</t>
  </si>
  <si>
    <t xml:space="preserve">締め済み期間の再計算は承認制とし、監査ログを残す。</t>
  </si>
  <si>
    <t xml:space="preserve">確定値の到着や更正のたびに、決算数値が知らないうちに変わる。</t>
  </si>
  <si>
    <t xml:space="preserve">F15-04</t>
  </si>
  <si>
    <r>
      <rPr>
        <sz val="10"/>
        <rFont val="Noto Sans CJK SC"/>
        <family val="2"/>
      </rPr>
      <t xml:space="preserve">「どこで</t>
    </r>
    <r>
      <rPr>
        <sz val="10"/>
        <rFont val="Yu Gothic"/>
        <family val="0"/>
        <charset val="1"/>
      </rPr>
      <t xml:space="preserve">1</t>
    </r>
    <r>
      <rPr>
        <sz val="10"/>
        <rFont val="Noto Sans CJK SC"/>
        <family val="2"/>
      </rPr>
      <t xml:space="preserve">回だけ丸めるか」を層で決めることに合意できるか（生データと事実データでは丸めず、請求元の約款に従って月次で</t>
    </r>
    <r>
      <rPr>
        <sz val="10"/>
        <rFont val="Yu Gothic"/>
        <family val="0"/>
        <charset val="1"/>
      </rPr>
      <t xml:space="preserve">1</t>
    </r>
    <r>
      <rPr>
        <sz val="10"/>
        <rFont val="Noto Sans CJK SC"/>
        <family val="2"/>
      </rPr>
      <t xml:space="preserve">回）。</t>
    </r>
  </si>
  <si>
    <r>
      <rPr>
        <sz val="10"/>
        <rFont val="Noto Sans CJK SC"/>
        <family val="2"/>
      </rPr>
      <t xml:space="preserve">丸めは集計マート層の月次確定で</t>
    </r>
    <r>
      <rPr>
        <sz val="10"/>
        <rFont val="Yu Gothic"/>
        <family val="0"/>
        <charset val="1"/>
      </rPr>
      <t xml:space="preserve">1</t>
    </r>
    <r>
      <rPr>
        <sz val="10"/>
        <rFont val="Noto Sans CJK SC"/>
        <family val="2"/>
      </rPr>
      <t xml:space="preserve">回だけ行う。</t>
    </r>
  </si>
  <si>
    <t xml:space="preserve">請求突合が永久に合わない。</t>
  </si>
  <si>
    <t xml:space="preserve">F16-01</t>
  </si>
  <si>
    <t xml:space="preserve">F-16</t>
  </si>
  <si>
    <t xml:space="preserve">需要予測精度監査</t>
  </si>
  <si>
    <t xml:space="preserve">需要予測モデルの版をどう採番し、精度をどこに記録するか。</t>
  </si>
  <si>
    <t xml:space="preserve">予測精度日次マートに精度を記録する。モデル自体は対象外。</t>
  </si>
  <si>
    <t xml:space="preserve">精度の変化とモデルの変更を結び付けられない。</t>
  </si>
  <si>
    <t xml:space="preserve">F16-02</t>
  </si>
  <si>
    <r>
      <rPr>
        <sz val="10"/>
        <rFont val="Noto Sans CJK SC"/>
        <family val="2"/>
      </rPr>
      <t xml:space="preserve">予測精度の通知閾値（初期値：高圧は地点 </t>
    </r>
    <r>
      <rPr>
        <sz val="10"/>
        <rFont val="Yu Gothic"/>
        <family val="0"/>
        <charset val="1"/>
      </rPr>
      <t xml:space="preserve">WAPE 10%</t>
    </r>
    <r>
      <rPr>
        <sz val="10"/>
        <rFont val="Noto Sans CJK SC"/>
        <family val="2"/>
      </rPr>
      <t xml:space="preserve">、低圧はポートフォリオ </t>
    </r>
    <r>
      <rPr>
        <sz val="10"/>
        <rFont val="Yu Gothic"/>
        <family val="0"/>
        <charset val="1"/>
      </rPr>
      <t xml:space="preserve">WAPE 5%</t>
    </r>
    <r>
      <rPr>
        <sz val="10"/>
        <rFont val="Noto Sans CJK SC"/>
        <family val="2"/>
      </rPr>
      <t xml:space="preserve">）は適切か。</t>
    </r>
  </si>
  <si>
    <t xml:space="preserve">前週比で閾値を超えたら需給担当へ通知する。</t>
  </si>
  <si>
    <t xml:space="preserve">通知が多すぎる、または悪化を見逃す。</t>
  </si>
  <si>
    <t xml:space="preserve">F17-01</t>
  </si>
  <si>
    <t xml:space="preserve">F-17</t>
  </si>
  <si>
    <r>
      <rPr>
        <sz val="10"/>
        <rFont val="Noto Sans CJK SC"/>
        <family val="2"/>
      </rPr>
      <t xml:space="preserve">分析画面（</t>
    </r>
    <r>
      <rPr>
        <sz val="10"/>
        <rFont val="Yu Gothic"/>
        <family val="0"/>
        <charset val="1"/>
      </rPr>
      <t xml:space="preserve">BI</t>
    </r>
    <r>
      <rPr>
        <sz val="10"/>
        <rFont val="Noto Sans CJK SC"/>
        <family val="2"/>
      </rPr>
      <t xml:space="preserve">）連携</t>
    </r>
  </si>
  <si>
    <r>
      <rPr>
        <sz val="10"/>
        <rFont val="Yu Gothic"/>
        <family val="0"/>
        <charset val="1"/>
      </rPr>
      <t xml:space="preserve">Looker Studio </t>
    </r>
    <r>
      <rPr>
        <sz val="10"/>
        <rFont val="Noto Sans CJK SC"/>
        <family val="2"/>
      </rPr>
      <t xml:space="preserve">の抽出データソースを外部から更新できる公開 </t>
    </r>
    <r>
      <rPr>
        <sz val="10"/>
        <rFont val="Yu Gothic"/>
        <family val="0"/>
        <charset val="1"/>
      </rPr>
      <t xml:space="preserve">API </t>
    </r>
    <r>
      <rPr>
        <sz val="10"/>
        <rFont val="Noto Sans CJK SC"/>
        <family val="2"/>
      </rPr>
      <t xml:space="preserve">はあるか。認証方式（サービスアカウントでの更新可否）、レート制限、抽出データソースのサイズ上限は何か。</t>
    </r>
  </si>
  <si>
    <r>
      <rPr>
        <sz val="10"/>
        <rFont val="Noto Sans CJK SC"/>
        <family val="2"/>
      </rPr>
      <t xml:space="preserve">抽出の更新はスケジュール（バッチの完了予定＋余裕）を基本とし、</t>
    </r>
    <r>
      <rPr>
        <sz val="10"/>
        <rFont val="Yu Gothic"/>
        <family val="0"/>
        <charset val="1"/>
      </rPr>
      <t xml:space="preserve">API </t>
    </r>
    <r>
      <rPr>
        <sz val="10"/>
        <rFont val="Noto Sans CJK SC"/>
        <family val="2"/>
      </rPr>
      <t xml:space="preserve">が使えれば完了イベントから直接更新する。</t>
    </r>
  </si>
  <si>
    <t xml:space="preserve">SE</t>
  </si>
  <si>
    <t xml:space="preserve">日報の公開が検算と同期しない。</t>
  </si>
  <si>
    <t xml:space="preserve">設定（イベント駆動へ切替）</t>
  </si>
  <si>
    <t xml:space="preserve">F17-02</t>
  </si>
  <si>
    <r>
      <rPr>
        <sz val="10"/>
        <rFont val="Noto Sans CJK SC"/>
        <family val="2"/>
      </rPr>
      <t xml:space="preserve">画面の利用者と用途（経営日報・エリア時間帯・詳細分析）は標準の </t>
    </r>
    <r>
      <rPr>
        <sz val="10"/>
        <rFont val="Yu Gothic"/>
        <family val="0"/>
        <charset val="1"/>
      </rPr>
      <t xml:space="preserve">P1</t>
    </r>
    <r>
      <rPr>
        <sz val="10"/>
        <rFont val="Noto Sans CJK SC"/>
        <family val="2"/>
      </rPr>
      <t xml:space="preserve">〜</t>
    </r>
    <r>
      <rPr>
        <sz val="10"/>
        <rFont val="Yu Gothic"/>
        <family val="0"/>
        <charset val="1"/>
      </rPr>
      <t xml:space="preserve">P3 </t>
    </r>
    <r>
      <rPr>
        <sz val="10"/>
        <rFont val="Noto Sans CJK SC"/>
        <family val="2"/>
      </rPr>
      <t xml:space="preserve">の構成で足りるか。</t>
    </r>
  </si>
  <si>
    <r>
      <rPr>
        <sz val="10"/>
        <rFont val="Yu Gothic"/>
        <family val="0"/>
        <charset val="1"/>
      </rPr>
      <t xml:space="preserve">P1</t>
    </r>
    <r>
      <rPr>
        <sz val="10"/>
        <rFont val="Noto Sans CJK SC"/>
        <family val="2"/>
      </rPr>
      <t xml:space="preserve">（経営日報）・</t>
    </r>
    <r>
      <rPr>
        <sz val="10"/>
        <rFont val="Yu Gothic"/>
        <family val="0"/>
        <charset val="1"/>
      </rPr>
      <t xml:space="preserve">P2</t>
    </r>
    <r>
      <rPr>
        <sz val="10"/>
        <rFont val="Noto Sans CJK SC"/>
        <family val="2"/>
      </rPr>
      <t xml:space="preserve">（エリア・時間帯）・</t>
    </r>
    <r>
      <rPr>
        <sz val="10"/>
        <rFont val="Yu Gothic"/>
        <family val="0"/>
        <charset val="1"/>
      </rPr>
      <t xml:space="preserve">P3</t>
    </r>
    <r>
      <rPr>
        <sz val="10"/>
        <rFont val="Noto Sans CJK SC"/>
        <family val="2"/>
      </rPr>
      <t xml:space="preserve">（詳細分析）・</t>
    </r>
    <r>
      <rPr>
        <sz val="10"/>
        <rFont val="Yu Gothic"/>
        <family val="0"/>
        <charset val="1"/>
      </rPr>
      <t xml:space="preserve">P4</t>
    </r>
    <r>
      <rPr>
        <sz val="10"/>
        <rFont val="Noto Sans CJK SC"/>
        <family val="2"/>
      </rPr>
      <t xml:space="preserve">（蓄電、オプション）。</t>
    </r>
  </si>
  <si>
    <t xml:space="preserve">管理者・業務担当者</t>
  </si>
  <si>
    <t xml:space="preserve">画面が使われない。</t>
  </si>
  <si>
    <t xml:space="preserve">設定（画面の追加・変更）</t>
  </si>
  <si>
    <t xml:space="preserve">F18-01</t>
  </si>
  <si>
    <t xml:space="preserve">F-18</t>
  </si>
  <si>
    <t xml:space="preserve">データ品質・運用監視</t>
  </si>
  <si>
    <t xml:space="preserve">監査ログの粒度（マスタ変更監査ログの対象範囲）と保持期間はどうするか。</t>
  </si>
  <si>
    <t xml:space="preserve">期間管理マスタの変更を変更前後の値とともに記録し、無期限で保持する。</t>
  </si>
  <si>
    <t xml:space="preserve">業務担当者（経理部・内部監査）</t>
  </si>
  <si>
    <t xml:space="preserve">監査に必要な証跡が不足する。</t>
  </si>
  <si>
    <t xml:space="preserve">F18-02</t>
  </si>
  <si>
    <t xml:space="preserve">監視の通知先と、一次対応・二次対応の体制（オンコールを含む）をどうするか。</t>
  </si>
  <si>
    <t xml:space="preserve">監視項目ごとに通知先（データ運用・需給・経理・料金担当・営業など）を持つ。</t>
  </si>
  <si>
    <t xml:space="preserve">運用担当・管理者</t>
  </si>
  <si>
    <t xml:space="preserve">通知を受けても誰も対応しない。</t>
  </si>
  <si>
    <t xml:space="preserve">F18-03</t>
  </si>
  <si>
    <r>
      <rPr>
        <sz val="10"/>
        <rFont val="Noto Sans CJK SC"/>
        <family val="2"/>
      </rPr>
      <t xml:space="preserve">外部データ（祝日</t>
    </r>
    <r>
      <rPr>
        <sz val="10"/>
        <rFont val="Yu Gothic"/>
        <family val="0"/>
        <charset val="1"/>
      </rPr>
      <t xml:space="preserve">CSV</t>
    </r>
    <r>
      <rPr>
        <sz val="10"/>
        <rFont val="Noto Sans CJK SC"/>
        <family val="2"/>
      </rPr>
      <t xml:space="preserve">・約款）の取込が失敗したとき、「止める」のではなく「前回の状態を維持して通知する」運用に合意できるか。</t>
    </r>
  </si>
  <si>
    <t xml:space="preserve">受入条件を満たした時だけ更新し、満たさなければ前回の状態を維持して緊急通知する。</t>
  </si>
  <si>
    <t xml:space="preserve">コンサルタント・運用担当</t>
  </si>
  <si>
    <t xml:space="preserve">「止まる」設計は二次災害（未来日の平日上書きなど）を起こす。</t>
  </si>
  <si>
    <t xml:space="preserve">F19-01</t>
  </si>
  <si>
    <t xml:space="preserve">F-19</t>
  </si>
  <si>
    <t xml:space="preserve">データ保持・アーカイブ</t>
  </si>
  <si>
    <r>
      <rPr>
        <sz val="10"/>
        <rFont val="Noto Sans CJK SC"/>
        <family val="2"/>
      </rPr>
      <t xml:space="preserve">確定データと経営マートの</t>
    </r>
    <r>
      <rPr>
        <sz val="10"/>
        <rFont val="Yu Gothic"/>
        <family val="0"/>
        <charset val="1"/>
      </rPr>
      <t xml:space="preserve">10</t>
    </r>
    <r>
      <rPr>
        <sz val="10"/>
        <rFont val="Noto Sans CJK SC"/>
        <family val="2"/>
      </rPr>
      <t xml:space="preserve">年保持で要件を満たすか。より長い保持が必要なデータはあるか。</t>
    </r>
  </si>
  <si>
    <r>
      <rPr>
        <sz val="10"/>
        <rFont val="Noto Sans CJK SC"/>
        <family val="2"/>
      </rPr>
      <t xml:space="preserve">確定層〜経営マートを本番環境上に</t>
    </r>
    <r>
      <rPr>
        <sz val="10"/>
        <rFont val="Yu Gothic"/>
        <family val="0"/>
        <charset val="1"/>
      </rPr>
      <t xml:space="preserve">10</t>
    </r>
    <r>
      <rPr>
        <sz val="10"/>
        <rFont val="Noto Sans CJK SC"/>
        <family val="2"/>
      </rPr>
      <t xml:space="preserve">年保持する。</t>
    </r>
  </si>
  <si>
    <t xml:space="preserve">法定保存期間を満たさない。</t>
  </si>
  <si>
    <t xml:space="preserve">設定（保持期間の変更）</t>
  </si>
  <si>
    <t xml:space="preserve">F20-01</t>
  </si>
  <si>
    <t xml:space="preserve">F-20</t>
  </si>
  <si>
    <t xml:space="preserve">データ移行支援</t>
  </si>
  <si>
    <t xml:space="preserve">移行元のシステムとデータの範囲（マスタ・過去実績の期間）は何か。過去データの生データ原本は残っているか。</t>
  </si>
  <si>
    <r>
      <rPr>
        <sz val="10"/>
        <rFont val="Noto Sans CJK SC"/>
        <family val="2"/>
      </rPr>
      <t xml:space="preserve">過去データは最低</t>
    </r>
    <r>
      <rPr>
        <sz val="10"/>
        <rFont val="Yu Gothic"/>
        <family val="0"/>
        <charset val="1"/>
      </rPr>
      <t xml:space="preserve">1</t>
    </r>
    <r>
      <rPr>
        <sz val="10"/>
        <rFont val="Noto Sans CJK SC"/>
        <family val="2"/>
      </rPr>
      <t xml:space="preserve">年分で検算する。移行時点からは生データをすべて残す。</t>
    </r>
  </si>
  <si>
    <t xml:space="preserve">過去分を再処理できない。</t>
  </si>
  <si>
    <t xml:space="preserve">運用で回避（原本がない過去分は「再処理不可」と明記）</t>
  </si>
  <si>
    <t xml:space="preserve">F20-02</t>
  </si>
  <si>
    <r>
      <rPr>
        <sz val="10"/>
        <rFont val="Yu Gothic"/>
        <family val="0"/>
        <charset val="1"/>
      </rPr>
      <t xml:space="preserve">BG </t>
    </r>
    <r>
      <rPr>
        <sz val="10"/>
        <rFont val="Noto Sans CJK SC"/>
        <family val="2"/>
      </rPr>
      <t xml:space="preserve">規約の按分方式は文書化されているか。</t>
    </r>
  </si>
  <si>
    <r>
      <rPr>
        <sz val="10"/>
        <rFont val="Noto Sans CJK SC"/>
        <family val="2"/>
      </rPr>
      <t xml:space="preserve">按分方式は </t>
    </r>
    <r>
      <rPr>
        <sz val="10"/>
        <rFont val="Yu Gothic"/>
        <family val="0"/>
        <charset val="1"/>
      </rPr>
      <t xml:space="preserve">BG </t>
    </r>
    <r>
      <rPr>
        <sz val="10"/>
        <rFont val="Noto Sans CJK SC"/>
        <family val="2"/>
      </rPr>
      <t xml:space="preserve">規約に従って登録する。</t>
    </r>
  </si>
  <si>
    <t xml:space="preserve">按分方式が決まらず、過去データでの突合ができない。</t>
  </si>
  <si>
    <t xml:space="preserve">運用で回避（代表者の過去の通知額から方式を逆算し、規約担当者と確認）</t>
  </si>
  <si>
    <t xml:space="preserve">F21-01</t>
  </si>
  <si>
    <t xml:space="preserve">F-21</t>
  </si>
  <si>
    <t xml:space="preserve">蓄電・揚水アセット損益</t>
  </si>
  <si>
    <t xml:space="preserve">蓄電・揚水を初期導入に含めるか。含めない場合の導入予定時期は。</t>
  </si>
  <si>
    <t xml:space="preserve">標準の導入範囲には含めない。導入時は流向「蓄電」の行として日報損益マートに追加する。</t>
  </si>
  <si>
    <t xml:space="preserve">経営者・業務担当者（経営企画・アセット運用部）</t>
  </si>
  <si>
    <t xml:space="preserve">含める前提で設計すると日報バッチに未使用のロジックが残る。</t>
  </si>
  <si>
    <t xml:space="preserve">ロジック改修（オプションの有効化）</t>
  </si>
  <si>
    <t xml:space="preserve">F21-02</t>
  </si>
  <si>
    <t xml:space="preserve">蓄電池のサイクルの区切り方（蓄電残量の下限から起算するか、日次で区切るか）をどうするか。</t>
  </si>
  <si>
    <t xml:space="preserve">サイクルごとに識別子を採番する。</t>
  </si>
  <si>
    <t xml:space="preserve">業務担当者（アセット運用部）</t>
  </si>
  <si>
    <r>
      <rPr>
        <sz val="10"/>
        <rFont val="Yu Gothic"/>
        <family val="0"/>
        <charset val="1"/>
      </rPr>
      <t xml:space="preserve">1</t>
    </r>
    <r>
      <rPr>
        <sz val="10"/>
        <rFont val="Noto Sans CJK SC"/>
        <family val="2"/>
      </rPr>
      <t xml:space="preserve">件の裁定取引の損益が追えない。</t>
    </r>
  </si>
  <si>
    <t xml:space="preserve">F21-03</t>
  </si>
  <si>
    <t xml:space="preserve">期末に完結していないサイクルを時価と原価のどちらで評価するか。</t>
  </si>
  <si>
    <t xml:space="preserve">未完結のサイクルは損益を確定させない。</t>
  </si>
  <si>
    <t xml:space="preserve">期末の損益がずれる。</t>
  </si>
  <si>
    <t xml:space="preserve">N01-01</t>
  </si>
  <si>
    <t xml:space="preserve">N-01</t>
  </si>
  <si>
    <t xml:space="preserve">基盤・データ構造</t>
  </si>
  <si>
    <t xml:space="preserve">非機能</t>
  </si>
  <si>
    <r>
      <rPr>
        <sz val="10"/>
        <rFont val="Noto Sans CJK SC"/>
        <family val="2"/>
      </rPr>
      <t xml:space="preserve">基盤として </t>
    </r>
    <r>
      <rPr>
        <sz val="10"/>
        <rFont val="Yu Gothic"/>
        <family val="0"/>
        <charset val="1"/>
      </rPr>
      <t xml:space="preserve">Google Cloud BigQuery </t>
    </r>
    <r>
      <rPr>
        <sz val="10"/>
        <rFont val="Noto Sans CJK SC"/>
        <family val="2"/>
      </rPr>
      <t xml:space="preserve">を採用できるか。</t>
    </r>
  </si>
  <si>
    <r>
      <rPr>
        <sz val="10"/>
        <rFont val="Yu Gothic"/>
        <family val="0"/>
        <charset val="1"/>
      </rPr>
      <t xml:space="preserve">BigQuery </t>
    </r>
    <r>
      <rPr>
        <sz val="10"/>
        <rFont val="Noto Sans CJK SC"/>
        <family val="2"/>
      </rPr>
      <t xml:space="preserve">上に</t>
    </r>
    <r>
      <rPr>
        <sz val="10"/>
        <rFont val="Yu Gothic"/>
        <family val="0"/>
        <charset val="1"/>
      </rPr>
      <t xml:space="preserve">3</t>
    </r>
    <r>
      <rPr>
        <sz val="10"/>
        <rFont val="Noto Sans CJK SC"/>
        <family val="2"/>
      </rPr>
      <t xml:space="preserve">層で構築する。</t>
    </r>
  </si>
  <si>
    <t xml:space="preserve">基盤が決まらず、設計が確定しない。</t>
  </si>
  <si>
    <t xml:space="preserve">ロジック改修（他基盤の場合は大規模）</t>
  </si>
  <si>
    <t xml:space="preserve">N02-01</t>
  </si>
  <si>
    <t xml:space="preserve">N-02</t>
  </si>
  <si>
    <t xml:space="preserve">保持期間</t>
  </si>
  <si>
    <r>
      <rPr>
        <sz val="10"/>
        <rFont val="Noto Sans CJK SC"/>
        <family val="2"/>
      </rPr>
      <t xml:space="preserve">層ごとの保持期間（生データ</t>
    </r>
    <r>
      <rPr>
        <sz val="10"/>
        <rFont val="Yu Gothic"/>
        <family val="0"/>
        <charset val="1"/>
      </rPr>
      <t xml:space="preserve">10</t>
    </r>
    <r>
      <rPr>
        <sz val="10"/>
        <rFont val="Noto Sans CJK SC"/>
        <family val="2"/>
      </rPr>
      <t xml:space="preserve">年、速報</t>
    </r>
    <r>
      <rPr>
        <sz val="10"/>
        <rFont val="Yu Gothic"/>
        <family val="0"/>
        <charset val="1"/>
      </rPr>
      <t xml:space="preserve">7</t>
    </r>
    <r>
      <rPr>
        <sz val="10"/>
        <rFont val="Noto Sans CJK SC"/>
        <family val="2"/>
      </rPr>
      <t xml:space="preserve">日、確報</t>
    </r>
    <r>
      <rPr>
        <sz val="10"/>
        <rFont val="Yu Gothic"/>
        <family val="0"/>
        <charset val="1"/>
      </rPr>
      <t xml:space="preserve">13</t>
    </r>
    <r>
      <rPr>
        <sz val="10"/>
        <rFont val="Noto Sans CJK SC"/>
        <family val="2"/>
      </rPr>
      <t xml:space="preserve">か月、確定</t>
    </r>
    <r>
      <rPr>
        <sz val="10"/>
        <rFont val="Yu Gothic"/>
        <family val="0"/>
        <charset val="1"/>
      </rPr>
      <t xml:space="preserve">10</t>
    </r>
    <r>
      <rPr>
        <sz val="10"/>
        <rFont val="Noto Sans CJK SC"/>
        <family val="2"/>
      </rPr>
      <t xml:space="preserve">年）で要件を満たすか。</t>
    </r>
  </si>
  <si>
    <t xml:space="preserve">標準の保持期間。</t>
  </si>
  <si>
    <t xml:space="preserve">業務担当者（情報システム部・経理部）</t>
  </si>
  <si>
    <t xml:space="preserve">保存期間の要件を満たさない。</t>
  </si>
  <si>
    <t xml:space="preserve">N03-01</t>
  </si>
  <si>
    <t xml:space="preserve">N-03</t>
  </si>
  <si>
    <t xml:space="preserve">個人情報・アクセス制御</t>
  </si>
  <si>
    <t xml:space="preserve">個人情報の閲覧制限は必要か。必要な場合、いつまでに適用するか。</t>
  </si>
  <si>
    <t xml:space="preserve">初期はマスキングなし。個人情報の列は分離済みで、列レベルのアクセス制御を後から適用できる。</t>
  </si>
  <si>
    <t xml:space="preserve">業務担当者（情報システム部・法務）</t>
  </si>
  <si>
    <t xml:space="preserve">個人情報取扱規程に違反する。</t>
  </si>
  <si>
    <r>
      <rPr>
        <sz val="10"/>
        <rFont val="Noto Sans CJK SC"/>
        <family val="2"/>
      </rPr>
      <t xml:space="preserve">設定（</t>
    </r>
    <r>
      <rPr>
        <sz val="10"/>
        <rFont val="Yu Gothic"/>
        <family val="0"/>
        <charset val="1"/>
      </rPr>
      <t xml:space="preserve">Policy Tags </t>
    </r>
    <r>
      <rPr>
        <sz val="10"/>
        <rFont val="Noto Sans CJK SC"/>
        <family val="2"/>
      </rPr>
      <t xml:space="preserve">の付与）</t>
    </r>
  </si>
  <si>
    <t xml:space="preserve">N04-01</t>
  </si>
  <si>
    <t xml:space="preserve">N-04</t>
  </si>
  <si>
    <t xml:space="preserve">環境分離・配備</t>
  </si>
  <si>
    <r>
      <rPr>
        <sz val="10"/>
        <rFont val="Noto Sans CJK SC"/>
        <family val="2"/>
      </rPr>
      <t xml:space="preserve">処理コードの版（</t>
    </r>
    <r>
      <rPr>
        <sz val="10"/>
        <rFont val="Yu Gothic"/>
        <family val="0"/>
        <charset val="1"/>
      </rPr>
      <t xml:space="preserve">pipeline_version</t>
    </r>
    <r>
      <rPr>
        <sz val="10"/>
        <rFont val="Noto Sans CJK SC"/>
        <family val="2"/>
      </rPr>
      <t xml:space="preserve">）の採番方式を何にするか（</t>
    </r>
    <r>
      <rPr>
        <sz val="10"/>
        <rFont val="Yu Gothic"/>
        <family val="0"/>
        <charset val="1"/>
      </rPr>
      <t xml:space="preserve">Git </t>
    </r>
    <r>
      <rPr>
        <sz val="10"/>
        <rFont val="Noto Sans CJK SC"/>
        <family val="2"/>
      </rPr>
      <t xml:space="preserve">コミット</t>
    </r>
    <r>
      <rPr>
        <sz val="10"/>
        <rFont val="Yu Gothic"/>
        <family val="0"/>
        <charset val="1"/>
      </rPr>
      <t xml:space="preserve">SHA</t>
    </r>
    <r>
      <rPr>
        <sz val="10"/>
        <rFont val="Noto Sans CJK SC"/>
        <family val="2"/>
      </rPr>
      <t xml:space="preserve">／リリースタグ／</t>
    </r>
    <r>
      <rPr>
        <sz val="10"/>
        <rFont val="Yu Gothic"/>
        <family val="0"/>
        <charset val="1"/>
      </rPr>
      <t xml:space="preserve">dbt </t>
    </r>
    <r>
      <rPr>
        <sz val="10"/>
        <rFont val="Noto Sans CJK SC"/>
        <family val="2"/>
      </rPr>
      <t xml:space="preserve">のリリース識別子）。</t>
    </r>
  </si>
  <si>
    <t xml:space="preserve">処理コードの版を配備時に注入し、全テーブルの監査列に記録する。</t>
  </si>
  <si>
    <r>
      <rPr>
        <sz val="10"/>
        <rFont val="Yu Gothic"/>
        <family val="0"/>
        <charset val="1"/>
      </rPr>
      <t xml:space="preserve">SE</t>
    </r>
    <r>
      <rPr>
        <sz val="10"/>
        <rFont val="Noto Sans CJK SC"/>
        <family val="2"/>
      </rPr>
      <t xml:space="preserve">・運用担当（情報システム部・基盤運用）</t>
    </r>
  </si>
  <si>
    <t xml:space="preserve">監査列の値が統一されず、べき等性のテストと再実行の追跡ができない。</t>
  </si>
  <si>
    <t xml:space="preserve">N04-02</t>
  </si>
  <si>
    <r>
      <rPr>
        <sz val="10"/>
        <rFont val="Yu Gothic"/>
        <family val="0"/>
        <charset val="1"/>
      </rPr>
      <t xml:space="preserve">dev</t>
    </r>
    <r>
      <rPr>
        <sz val="10"/>
        <rFont val="Noto Sans CJK SC"/>
        <family val="2"/>
      </rPr>
      <t xml:space="preserve">・</t>
    </r>
    <r>
      <rPr>
        <sz val="10"/>
        <rFont val="Yu Gothic"/>
        <family val="0"/>
        <charset val="1"/>
      </rPr>
      <t xml:space="preserve">stg</t>
    </r>
    <r>
      <rPr>
        <sz val="10"/>
        <rFont val="Noto Sans CJK SC"/>
        <family val="2"/>
      </rPr>
      <t xml:space="preserve">・</t>
    </r>
    <r>
      <rPr>
        <sz val="10"/>
        <rFont val="Yu Gothic"/>
        <family val="0"/>
        <charset val="1"/>
      </rPr>
      <t xml:space="preserve">prod </t>
    </r>
    <r>
      <rPr>
        <sz val="10"/>
        <rFont val="Noto Sans CJK SC"/>
        <family val="2"/>
      </rPr>
      <t xml:space="preserve">の環境分離と </t>
    </r>
    <r>
      <rPr>
        <sz val="10"/>
        <rFont val="Yu Gothic"/>
        <family val="0"/>
        <charset val="1"/>
      </rPr>
      <t xml:space="preserve">CI/CD </t>
    </r>
    <r>
      <rPr>
        <sz val="10"/>
        <rFont val="Noto Sans CJK SC"/>
        <family val="2"/>
      </rPr>
      <t xml:space="preserve">の仕組みを用意できるか。</t>
    </r>
  </si>
  <si>
    <r>
      <rPr>
        <sz val="10"/>
        <rFont val="Yu Gothic"/>
        <family val="0"/>
        <charset val="1"/>
      </rPr>
      <t xml:space="preserve">3</t>
    </r>
    <r>
      <rPr>
        <sz val="10"/>
        <rFont val="Noto Sans CJK SC"/>
        <family val="2"/>
      </rPr>
      <t xml:space="preserve">環境を分け、テンプレート変数を </t>
    </r>
    <r>
      <rPr>
        <sz val="10"/>
        <rFont val="Yu Gothic"/>
        <family val="0"/>
        <charset val="1"/>
      </rPr>
      <t xml:space="preserve">CI/CD </t>
    </r>
    <r>
      <rPr>
        <sz val="10"/>
        <rFont val="Noto Sans CJK SC"/>
        <family val="2"/>
      </rPr>
      <t xml:space="preserve">で展開して配備する。</t>
    </r>
  </si>
  <si>
    <r>
      <rPr>
        <sz val="10"/>
        <rFont val="Yu Gothic"/>
        <family val="0"/>
        <charset val="1"/>
      </rPr>
      <t xml:space="preserve">SE</t>
    </r>
    <r>
      <rPr>
        <sz val="10"/>
        <rFont val="Noto Sans CJK SC"/>
        <family val="2"/>
      </rPr>
      <t xml:space="preserve">（情報システム部）</t>
    </r>
  </si>
  <si>
    <t xml:space="preserve">本番へ未検証の変更が入る。</t>
  </si>
  <si>
    <t xml:space="preserve">N05-01</t>
  </si>
  <si>
    <t xml:space="preserve">N-05</t>
  </si>
  <si>
    <t xml:space="preserve">性能・コスト</t>
  </si>
  <si>
    <r>
      <rPr>
        <sz val="10"/>
        <rFont val="Yu Gothic"/>
        <family val="0"/>
        <charset val="1"/>
      </rPr>
      <t xml:space="preserve">BigQuery </t>
    </r>
    <r>
      <rPr>
        <sz val="10"/>
        <rFont val="Noto Sans CJK SC"/>
        <family val="2"/>
      </rPr>
      <t xml:space="preserve">の課金モデル（オンデマンド／容量ベース）をどうするか。</t>
    </r>
  </si>
  <si>
    <t xml:space="preserve">初期はオンデマンドで開始し、実測後に判断する。年単位のコミットは性能測定まで契約しない。</t>
  </si>
  <si>
    <t xml:space="preserve">コストが見通せない。</t>
  </si>
  <si>
    <t xml:space="preserve">N06-01</t>
  </si>
  <si>
    <t xml:space="preserve">N-06</t>
  </si>
  <si>
    <t xml:space="preserve">命名・開発規約</t>
  </si>
  <si>
    <t xml:space="preserve">社内に既存の命名・開発規約があるか。外部の「データ基盤開発運用ガイドライン」への準拠でよいか。</t>
  </si>
  <si>
    <t xml:space="preserve">外部の「データ基盤開発運用ガイドライン」に準拠する。</t>
  </si>
  <si>
    <t xml:space="preserve">既存資産との命名が不統一になる。</t>
  </si>
  <si>
    <t xml:space="preserve">ロジック改修（命名変更は破壊的変更）</t>
  </si>
  <si>
    <t xml:space="preserve">機能別の判定と決定の状況（ヒアリングシートの記入内容から自動計算）</t>
  </si>
  <si>
    <t xml:space="preserve">項目数</t>
  </si>
  <si>
    <t xml:space="preserve">適合</t>
  </si>
  <si>
    <t xml:space="preserve">条件付き適合</t>
  </si>
  <si>
    <t xml:space="preserve">対象外</t>
  </si>
  <si>
    <t xml:space="preserve">未判定</t>
  </si>
  <si>
    <r>
      <rPr>
        <b val="true"/>
        <sz val="10"/>
        <color rgb="FFFFFFFF"/>
        <rFont val="Noto Sans CJK SC"/>
        <family val="2"/>
      </rPr>
      <t xml:space="preserve">うち </t>
    </r>
    <r>
      <rPr>
        <b val="true"/>
        <sz val="10"/>
        <color rgb="FFFFFFFF"/>
        <rFont val="Yu Gothic"/>
        <family val="0"/>
        <charset val="1"/>
      </rPr>
      <t xml:space="preserve">GAP </t>
    </r>
    <r>
      <rPr>
        <b val="true"/>
        <sz val="10"/>
        <color rgb="FFFFFFFF"/>
        <rFont val="Noto Sans CJK SC"/>
        <family val="2"/>
      </rPr>
      <t xml:space="preserve">の対策区分：ロジック改修</t>
    </r>
  </si>
  <si>
    <t xml:space="preserve">未決定</t>
  </si>
  <si>
    <t xml:space="preserve">合計</t>
  </si>
  <si>
    <t xml:space="preserve">大</t>
  </si>
  <si>
    <t xml:space="preserve">確認中</t>
  </si>
  <si>
    <t xml:space="preserve">小</t>
  </si>
  <si>
    <t xml:space="preserve">回答済み</t>
  </si>
</sst>
</file>

<file path=xl/styles.xml><?xml version="1.0" encoding="utf-8"?>
<styleSheet xmlns="http://schemas.openxmlformats.org/spreadsheetml/2006/main">
  <numFmts count="3">
    <numFmt numFmtId="164" formatCode="General"/>
    <numFmt numFmtId="165" formatCode="yyyy/mm/dd"/>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0"/>
      <name val="Noto Sans CJK SC"/>
      <family val="2"/>
    </font>
    <font>
      <sz val="10"/>
      <name val="Noto Sans CJK SC"/>
      <family val="2"/>
    </font>
    <font>
      <sz val="10"/>
      <name val="Yu Gothic"/>
      <family val="0"/>
      <charset val="1"/>
    </font>
    <font>
      <b val="true"/>
      <sz val="10"/>
      <name val="Yu Gothic"/>
      <family val="0"/>
      <charset val="1"/>
    </font>
    <font>
      <b val="true"/>
      <sz val="10"/>
      <color rgb="FFFFFFFF"/>
      <name val="Noto Sans CJK SC"/>
      <family val="2"/>
    </font>
    <font>
      <b val="true"/>
      <sz val="10"/>
      <color rgb="FFFFFFFF"/>
      <name val="Yu Gothic"/>
      <family val="0"/>
      <charset val="1"/>
    </font>
  </fonts>
  <fills count="6">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4E78"/>
        <bgColor rgb="FF003366"/>
      </patternFill>
    </fill>
    <fill>
      <patternFill patternType="solid">
        <fgColor rgb="FF7F6000"/>
        <bgColor rgb="FF99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6" fontId="8"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7F6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4" t="s">
        <v>4</v>
      </c>
    </row>
    <row r="5" customFormat="false" ht="15" hidden="false" customHeight="false" outlineLevel="0" collapsed="false">
      <c r="A5" s="2" t="s">
        <v>5</v>
      </c>
      <c r="B5" s="4" t="s">
        <v>6</v>
      </c>
    </row>
    <row r="6" customFormat="false" ht="15" hidden="false" customHeight="false" outlineLevel="0" collapsed="false">
      <c r="A6" s="2" t="s">
        <v>7</v>
      </c>
      <c r="B6" s="3" t="s">
        <v>8</v>
      </c>
    </row>
    <row r="7" customFormat="false" ht="29.85" hidden="false" customHeight="false" outlineLevel="0" collapsed="false">
      <c r="A7" s="2" t="s">
        <v>9</v>
      </c>
      <c r="B7" s="3" t="s">
        <v>10</v>
      </c>
    </row>
    <row r="8" customFormat="false" ht="29.85" hidden="false" customHeight="false" outlineLevel="0" collapsed="false">
      <c r="A8" s="2" t="s">
        <v>11</v>
      </c>
      <c r="B8" s="3" t="s">
        <v>12</v>
      </c>
    </row>
    <row r="9" customFormat="false" ht="15" hidden="false" customHeight="false" outlineLevel="0" collapsed="false">
      <c r="A9" s="2" t="s">
        <v>13</v>
      </c>
      <c r="B9" s="3" t="s">
        <v>14</v>
      </c>
    </row>
    <row r="11" customFormat="false" ht="15" hidden="false" customHeight="false" outlineLevel="0" collapsed="false">
      <c r="A11" s="5" t="s">
        <v>15</v>
      </c>
    </row>
    <row r="12" customFormat="false" ht="15" hidden="false" customHeight="false" outlineLevel="0" collapsed="false">
      <c r="A12" s="6" t="s">
        <v>16</v>
      </c>
      <c r="B12" s="3" t="s">
        <v>17</v>
      </c>
    </row>
    <row r="13" customFormat="false" ht="15" hidden="false" customHeight="false" outlineLevel="0" collapsed="false">
      <c r="A13" s="6" t="s">
        <v>18</v>
      </c>
      <c r="B13" s="3" t="s">
        <v>19</v>
      </c>
    </row>
    <row r="14" customFormat="false" ht="15" hidden="false" customHeight="false" outlineLevel="0" collapsed="false">
      <c r="A14" s="6" t="s">
        <v>20</v>
      </c>
      <c r="B14" s="3" t="s">
        <v>21</v>
      </c>
    </row>
    <row r="15" customFormat="false" ht="15" hidden="false" customHeight="false" outlineLevel="0" collapsed="false">
      <c r="A15" s="6" t="s">
        <v>22</v>
      </c>
      <c r="B15" s="3" t="s">
        <v>23</v>
      </c>
    </row>
    <row r="16" customFormat="false" ht="15" hidden="false" customHeight="false" outlineLevel="0" collapsed="false">
      <c r="A16" s="6" t="s">
        <v>24</v>
      </c>
      <c r="B16" s="3" t="s">
        <v>25</v>
      </c>
    </row>
    <row r="17" customFormat="false" ht="15" hidden="false" customHeight="false" outlineLevel="0" collapsed="false">
      <c r="A17" s="6" t="s">
        <v>26</v>
      </c>
      <c r="B17" s="3" t="s">
        <v>27</v>
      </c>
    </row>
    <row r="19" customFormat="false" ht="15" hidden="false" customHeight="false" outlineLevel="0" collapsed="false">
      <c r="A19" s="5" t="s">
        <v>28</v>
      </c>
    </row>
    <row r="20" customFormat="false" ht="29.85" hidden="false" customHeight="false" outlineLevel="0" collapsed="false">
      <c r="A20" s="2" t="s">
        <v>29</v>
      </c>
      <c r="B20" s="3" t="s">
        <v>30</v>
      </c>
    </row>
    <row r="21" customFormat="false" ht="29.85" hidden="false" customHeight="false" outlineLevel="0" collapsed="false">
      <c r="A21" s="2" t="s">
        <v>31</v>
      </c>
      <c r="B21" s="3" t="s">
        <v>32</v>
      </c>
    </row>
    <row r="22" customFormat="false" ht="29.85" hidden="false" customHeight="false" outlineLevel="0" collapsed="false">
      <c r="A22" s="2" t="s">
        <v>33</v>
      </c>
      <c r="B22" s="3" t="s">
        <v>34</v>
      </c>
    </row>
    <row r="23" customFormat="false" ht="29.85" hidden="false" customHeight="false" outlineLevel="0" collapsed="false">
      <c r="A23" s="2" t="s">
        <v>35</v>
      </c>
      <c r="B23" s="3" t="s">
        <v>36</v>
      </c>
    </row>
    <row r="24" customFormat="false" ht="15" hidden="false" customHeight="false" outlineLevel="0" collapsed="false">
      <c r="A24" s="2" t="s">
        <v>37</v>
      </c>
      <c r="B24" s="3" t="s">
        <v>38</v>
      </c>
    </row>
    <row r="26" customFormat="false" ht="15" hidden="false" customHeight="false" outlineLevel="0" collapsed="false">
      <c r="A26" s="5" t="s">
        <v>39</v>
      </c>
    </row>
    <row r="27" customFormat="false" ht="15" hidden="false" customHeight="false" outlineLevel="0" collapsed="false">
      <c r="A27" s="2" t="s">
        <v>40</v>
      </c>
      <c r="B27" s="7" t="s">
        <v>41</v>
      </c>
    </row>
    <row r="28" customFormat="false" ht="15" hidden="false" customHeight="false" outlineLevel="0" collapsed="false">
      <c r="A28" s="2" t="s">
        <v>29</v>
      </c>
      <c r="B28" s="8" t="s">
        <v>42</v>
      </c>
    </row>
    <row r="29" customFormat="false" ht="15" hidden="false" customHeight="false" outlineLevel="0" collapsed="false">
      <c r="A29" s="6" t="s">
        <v>43</v>
      </c>
      <c r="B29" s="7" t="s">
        <v>44</v>
      </c>
    </row>
    <row r="30" customFormat="false" ht="29.85" hidden="false" customHeight="false" outlineLevel="0" collapsed="false">
      <c r="A30" s="2" t="s">
        <v>45</v>
      </c>
      <c r="B30" s="8" t="s">
        <v>46</v>
      </c>
    </row>
    <row r="31" customFormat="false" ht="15" hidden="false" customHeight="false" outlineLevel="0" collapsed="false">
      <c r="A31" s="2" t="s">
        <v>47</v>
      </c>
      <c r="B31" s="7" t="s">
        <v>48</v>
      </c>
    </row>
    <row r="32" customFormat="false" ht="15" hidden="false" customHeight="false" outlineLevel="0" collapsed="false">
      <c r="A32" s="2" t="s">
        <v>31</v>
      </c>
      <c r="B32" s="7" t="s">
        <v>49</v>
      </c>
    </row>
    <row r="33" customFormat="false" ht="29.85" hidden="false" customHeight="false" outlineLevel="0" collapsed="false">
      <c r="A33" s="2" t="s">
        <v>50</v>
      </c>
      <c r="B33" s="7" t="s">
        <v>51</v>
      </c>
    </row>
    <row r="34" customFormat="false" ht="15" hidden="false" customHeight="false" outlineLevel="0" collapsed="false">
      <c r="A34" s="2" t="s">
        <v>33</v>
      </c>
      <c r="B34" s="7" t="s">
        <v>52</v>
      </c>
    </row>
    <row r="35" customFormat="false" ht="15" hidden="false" customHeight="false" outlineLevel="0" collapsed="false">
      <c r="A35" s="2" t="s">
        <v>53</v>
      </c>
      <c r="B35" s="7" t="s">
        <v>54</v>
      </c>
    </row>
    <row r="36" customFormat="false" ht="15" hidden="false" customHeight="false" outlineLevel="0" collapsed="false">
      <c r="A36" s="2" t="s">
        <v>55</v>
      </c>
      <c r="B36" s="7" t="s">
        <v>56</v>
      </c>
    </row>
    <row r="37" customFormat="false" ht="15" hidden="false" customHeight="false" outlineLevel="0" collapsed="false">
      <c r="A37" s="2" t="s">
        <v>57</v>
      </c>
      <c r="B37" s="7" t="s">
        <v>58</v>
      </c>
    </row>
    <row r="38" customFormat="false" ht="15" hidden="false" customHeight="false" outlineLevel="0" collapsed="false">
      <c r="A38" s="2" t="s">
        <v>59</v>
      </c>
      <c r="B38" s="8" t="s">
        <v>60</v>
      </c>
    </row>
    <row r="39" customFormat="false" ht="15" hidden="false" customHeight="false" outlineLevel="0" collapsed="false">
      <c r="A39" s="2" t="s">
        <v>61</v>
      </c>
      <c r="B39" s="8" t="s">
        <v>62</v>
      </c>
    </row>
    <row r="40" customFormat="false" ht="15" hidden="false" customHeight="false" outlineLevel="0" collapsed="false">
      <c r="A40" s="2" t="s">
        <v>37</v>
      </c>
      <c r="B40" s="7"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8"/>
    <col collapsed="false" customWidth="true" hidden="false" outlineLevel="0" max="4" min="4" style="0" width="9"/>
    <col collapsed="false" customWidth="true" hidden="false" outlineLevel="0" max="5" min="5" style="0" width="44"/>
    <col collapsed="false" customWidth="true" hidden="false" outlineLevel="0" max="6" min="6" style="0" width="48"/>
    <col collapsed="false" customWidth="true" hidden="false" outlineLevel="0" max="7" min="7" style="0" width="18"/>
    <col collapsed="false" customWidth="true" hidden="false" outlineLevel="0" max="8" min="8" style="0" width="10"/>
    <col collapsed="false" customWidth="true" hidden="false" outlineLevel="0" max="9" min="9" style="0" width="32"/>
    <col collapsed="false" customWidth="true" hidden="false" outlineLevel="0" max="10" min="10" style="0" width="30"/>
    <col collapsed="false" customWidth="true" hidden="false" outlineLevel="0" max="11" min="11" style="0" width="40"/>
    <col collapsed="false" customWidth="true" hidden="false" outlineLevel="0" max="12" min="12" style="0" width="12"/>
    <col collapsed="false" customWidth="true" hidden="false" outlineLevel="0" max="13" min="13" style="0" width="11"/>
    <col collapsed="false" customWidth="true" hidden="false" outlineLevel="0" max="14" min="14" style="0" width="12"/>
    <col collapsed="false" customWidth="true" hidden="false" outlineLevel="0" max="15" min="15" style="0" width="34"/>
    <col collapsed="false" customWidth="true" hidden="false" outlineLevel="0" max="16" min="16" style="0" width="28"/>
    <col collapsed="false" customWidth="true" hidden="false" outlineLevel="0" max="17" min="17" style="0" width="20"/>
    <col collapsed="false" customWidth="true" hidden="false" outlineLevel="0" max="18" min="18" style="0" width="12"/>
    <col collapsed="false" customWidth="true" hidden="false" outlineLevel="0" max="19" min="19" style="0" width="36"/>
    <col collapsed="false" customWidth="true" hidden="false" outlineLevel="0" max="20" min="20" style="0" width="8"/>
    <col collapsed="false" customWidth="true" hidden="false" outlineLevel="0" max="21" min="21" style="0" width="34"/>
    <col collapsed="false" customWidth="true" hidden="false" outlineLevel="0" max="22" min="22" style="0" width="22"/>
    <col collapsed="false" customWidth="true" hidden="false" outlineLevel="0" max="23" min="23" style="0" width="12"/>
    <col collapsed="false" customWidth="true" hidden="false" outlineLevel="0" max="25" min="24" style="0" width="11"/>
    <col collapsed="false" customWidth="true" hidden="false" outlineLevel="0" max="26" min="26" style="0" width="10"/>
  </cols>
  <sheetData>
    <row r="1" customFormat="false" ht="31.5" hidden="false" customHeight="true" outlineLevel="0" collapsed="false">
      <c r="A1" s="9" t="s">
        <v>64</v>
      </c>
      <c r="B1" s="9" t="s">
        <v>65</v>
      </c>
      <c r="C1" s="9" t="s">
        <v>66</v>
      </c>
      <c r="D1" s="9" t="s">
        <v>67</v>
      </c>
      <c r="E1" s="9" t="s">
        <v>68</v>
      </c>
      <c r="F1" s="9" t="s">
        <v>69</v>
      </c>
      <c r="G1" s="9" t="s">
        <v>70</v>
      </c>
      <c r="H1" s="9" t="s">
        <v>71</v>
      </c>
      <c r="I1" s="9" t="s">
        <v>72</v>
      </c>
      <c r="J1" s="10" t="s">
        <v>73</v>
      </c>
      <c r="K1" s="11" t="s">
        <v>40</v>
      </c>
      <c r="L1" s="11" t="s">
        <v>74</v>
      </c>
      <c r="M1" s="11" t="s">
        <v>75</v>
      </c>
      <c r="N1" s="11" t="s">
        <v>29</v>
      </c>
      <c r="O1" s="12" t="s">
        <v>76</v>
      </c>
      <c r="P1" s="11" t="s">
        <v>77</v>
      </c>
      <c r="Q1" s="11" t="s">
        <v>47</v>
      </c>
      <c r="R1" s="11" t="s">
        <v>31</v>
      </c>
      <c r="S1" s="11" t="s">
        <v>50</v>
      </c>
      <c r="T1" s="11" t="s">
        <v>33</v>
      </c>
      <c r="U1" s="11" t="s">
        <v>53</v>
      </c>
      <c r="V1" s="11" t="s">
        <v>55</v>
      </c>
      <c r="W1" s="11" t="s">
        <v>57</v>
      </c>
      <c r="X1" s="11" t="s">
        <v>59</v>
      </c>
      <c r="Y1" s="11" t="s">
        <v>61</v>
      </c>
      <c r="Z1" s="11" t="s">
        <v>37</v>
      </c>
    </row>
    <row r="2" customFormat="false" ht="100.7" hidden="false" customHeight="false" outlineLevel="0" collapsed="false">
      <c r="A2" s="13" t="s">
        <v>78</v>
      </c>
      <c r="B2" s="4" t="s">
        <v>79</v>
      </c>
      <c r="C2" s="3" t="s">
        <v>80</v>
      </c>
      <c r="D2" s="3" t="s">
        <v>81</v>
      </c>
      <c r="E2" s="3" t="s">
        <v>82</v>
      </c>
      <c r="F2" s="3" t="s">
        <v>83</v>
      </c>
      <c r="G2" s="3" t="s">
        <v>84</v>
      </c>
      <c r="H2" s="3" t="s">
        <v>85</v>
      </c>
      <c r="I2" s="3" t="s">
        <v>86</v>
      </c>
      <c r="J2" s="3" t="s">
        <v>87</v>
      </c>
      <c r="K2" s="7"/>
      <c r="L2" s="7"/>
      <c r="M2" s="14"/>
      <c r="N2" s="8"/>
      <c r="O2" s="7"/>
      <c r="P2" s="7"/>
      <c r="Q2" s="7"/>
      <c r="R2" s="8"/>
      <c r="S2" s="7"/>
      <c r="T2" s="8"/>
      <c r="U2" s="7"/>
      <c r="V2" s="7"/>
      <c r="W2" s="7"/>
      <c r="X2" s="14"/>
      <c r="Y2" s="14"/>
      <c r="Z2" s="7" t="s">
        <v>88</v>
      </c>
    </row>
    <row r="3" customFormat="false" ht="44" hidden="false" customHeight="false" outlineLevel="0" collapsed="false">
      <c r="A3" s="13" t="s">
        <v>89</v>
      </c>
      <c r="B3" s="4" t="s">
        <v>79</v>
      </c>
      <c r="C3" s="3" t="s">
        <v>80</v>
      </c>
      <c r="D3" s="3" t="s">
        <v>90</v>
      </c>
      <c r="E3" s="3" t="s">
        <v>91</v>
      </c>
      <c r="F3" s="3" t="s">
        <v>92</v>
      </c>
      <c r="G3" s="3" t="s">
        <v>93</v>
      </c>
      <c r="H3" s="3" t="s">
        <v>94</v>
      </c>
      <c r="I3" s="3" t="s">
        <v>95</v>
      </c>
      <c r="J3" s="3" t="s">
        <v>96</v>
      </c>
      <c r="K3" s="7"/>
      <c r="L3" s="7"/>
      <c r="M3" s="14"/>
      <c r="N3" s="8"/>
      <c r="O3" s="7"/>
      <c r="P3" s="7"/>
      <c r="Q3" s="7"/>
      <c r="R3" s="8"/>
      <c r="S3" s="7"/>
      <c r="T3" s="8"/>
      <c r="U3" s="7"/>
      <c r="V3" s="7"/>
      <c r="W3" s="7"/>
      <c r="X3" s="14"/>
      <c r="Y3" s="14"/>
      <c r="Z3" s="7" t="s">
        <v>88</v>
      </c>
    </row>
    <row r="4" customFormat="false" ht="29.85" hidden="false" customHeight="false" outlineLevel="0" collapsed="false">
      <c r="A4" s="13" t="s">
        <v>97</v>
      </c>
      <c r="B4" s="4" t="s">
        <v>79</v>
      </c>
      <c r="C4" s="3" t="s">
        <v>80</v>
      </c>
      <c r="D4" s="3" t="s">
        <v>90</v>
      </c>
      <c r="E4" s="3" t="s">
        <v>98</v>
      </c>
      <c r="F4" s="3" t="s">
        <v>99</v>
      </c>
      <c r="G4" s="3" t="s">
        <v>100</v>
      </c>
      <c r="H4" s="3" t="s">
        <v>85</v>
      </c>
      <c r="I4" s="3" t="s">
        <v>101</v>
      </c>
      <c r="J4" s="3" t="s">
        <v>102</v>
      </c>
      <c r="K4" s="7"/>
      <c r="L4" s="7"/>
      <c r="M4" s="14"/>
      <c r="N4" s="8"/>
      <c r="O4" s="7"/>
      <c r="P4" s="7"/>
      <c r="Q4" s="7"/>
      <c r="R4" s="8"/>
      <c r="S4" s="7"/>
      <c r="T4" s="8"/>
      <c r="U4" s="7"/>
      <c r="V4" s="7"/>
      <c r="W4" s="7"/>
      <c r="X4" s="14"/>
      <c r="Y4" s="14"/>
      <c r="Z4" s="7" t="s">
        <v>88</v>
      </c>
    </row>
    <row r="5" customFormat="false" ht="44" hidden="false" customHeight="false" outlineLevel="0" collapsed="false">
      <c r="A5" s="13" t="s">
        <v>103</v>
      </c>
      <c r="B5" s="4" t="s">
        <v>104</v>
      </c>
      <c r="C5" s="3" t="s">
        <v>105</v>
      </c>
      <c r="D5" s="3" t="s">
        <v>106</v>
      </c>
      <c r="E5" s="3" t="s">
        <v>107</v>
      </c>
      <c r="F5" s="3" t="s">
        <v>108</v>
      </c>
      <c r="G5" s="3" t="s">
        <v>109</v>
      </c>
      <c r="H5" s="3" t="s">
        <v>85</v>
      </c>
      <c r="I5" s="3" t="s">
        <v>110</v>
      </c>
      <c r="J5" s="3" t="s">
        <v>111</v>
      </c>
      <c r="K5" s="7"/>
      <c r="L5" s="7"/>
      <c r="M5" s="14"/>
      <c r="N5" s="8"/>
      <c r="O5" s="7"/>
      <c r="P5" s="7"/>
      <c r="Q5" s="7"/>
      <c r="R5" s="8"/>
      <c r="S5" s="7"/>
      <c r="T5" s="8"/>
      <c r="U5" s="7"/>
      <c r="V5" s="7"/>
      <c r="W5" s="7"/>
      <c r="X5" s="14"/>
      <c r="Y5" s="14"/>
      <c r="Z5" s="7" t="s">
        <v>88</v>
      </c>
    </row>
    <row r="6" customFormat="false" ht="44" hidden="false" customHeight="false" outlineLevel="0" collapsed="false">
      <c r="A6" s="13" t="s">
        <v>112</v>
      </c>
      <c r="B6" s="4" t="s">
        <v>104</v>
      </c>
      <c r="C6" s="3" t="s">
        <v>105</v>
      </c>
      <c r="D6" s="3" t="s">
        <v>90</v>
      </c>
      <c r="E6" s="3" t="s">
        <v>113</v>
      </c>
      <c r="F6" s="3" t="s">
        <v>114</v>
      </c>
      <c r="G6" s="3" t="s">
        <v>115</v>
      </c>
      <c r="H6" s="3" t="s">
        <v>85</v>
      </c>
      <c r="I6" s="3" t="s">
        <v>116</v>
      </c>
      <c r="J6" s="3" t="s">
        <v>117</v>
      </c>
      <c r="K6" s="7"/>
      <c r="L6" s="7"/>
      <c r="M6" s="14"/>
      <c r="N6" s="8"/>
      <c r="O6" s="7"/>
      <c r="P6" s="7"/>
      <c r="Q6" s="7"/>
      <c r="R6" s="8"/>
      <c r="S6" s="7"/>
      <c r="T6" s="8"/>
      <c r="U6" s="7"/>
      <c r="V6" s="7"/>
      <c r="W6" s="7"/>
      <c r="X6" s="14"/>
      <c r="Y6" s="14"/>
      <c r="Z6" s="7" t="s">
        <v>88</v>
      </c>
    </row>
    <row r="7" customFormat="false" ht="44" hidden="false" customHeight="false" outlineLevel="0" collapsed="false">
      <c r="A7" s="13" t="s">
        <v>118</v>
      </c>
      <c r="B7" s="4" t="s">
        <v>104</v>
      </c>
      <c r="C7" s="3" t="s">
        <v>105</v>
      </c>
      <c r="D7" s="3" t="s">
        <v>90</v>
      </c>
      <c r="E7" s="3" t="s">
        <v>119</v>
      </c>
      <c r="F7" s="3" t="s">
        <v>120</v>
      </c>
      <c r="G7" s="3" t="s">
        <v>109</v>
      </c>
      <c r="H7" s="3" t="s">
        <v>85</v>
      </c>
      <c r="I7" s="3" t="s">
        <v>121</v>
      </c>
      <c r="J7" s="3" t="s">
        <v>122</v>
      </c>
      <c r="K7" s="7"/>
      <c r="L7" s="7"/>
      <c r="M7" s="14"/>
      <c r="N7" s="8"/>
      <c r="O7" s="7"/>
      <c r="P7" s="7"/>
      <c r="Q7" s="7"/>
      <c r="R7" s="8"/>
      <c r="S7" s="7"/>
      <c r="T7" s="8"/>
      <c r="U7" s="7"/>
      <c r="V7" s="7"/>
      <c r="W7" s="7"/>
      <c r="X7" s="14"/>
      <c r="Y7" s="14"/>
      <c r="Z7" s="7" t="s">
        <v>88</v>
      </c>
    </row>
    <row r="8" customFormat="false" ht="44" hidden="false" customHeight="false" outlineLevel="0" collapsed="false">
      <c r="A8" s="13" t="s">
        <v>123</v>
      </c>
      <c r="B8" s="4" t="s">
        <v>104</v>
      </c>
      <c r="C8" s="3" t="s">
        <v>105</v>
      </c>
      <c r="D8" s="3" t="s">
        <v>90</v>
      </c>
      <c r="E8" s="3" t="s">
        <v>124</v>
      </c>
      <c r="F8" s="3" t="s">
        <v>125</v>
      </c>
      <c r="G8" s="3" t="s">
        <v>126</v>
      </c>
      <c r="H8" s="3" t="s">
        <v>85</v>
      </c>
      <c r="I8" s="3" t="s">
        <v>127</v>
      </c>
      <c r="J8" s="3" t="s">
        <v>128</v>
      </c>
      <c r="K8" s="7"/>
      <c r="L8" s="7"/>
      <c r="M8" s="14"/>
      <c r="N8" s="8"/>
      <c r="O8" s="7"/>
      <c r="P8" s="7"/>
      <c r="Q8" s="7"/>
      <c r="R8" s="8"/>
      <c r="S8" s="7"/>
      <c r="T8" s="8"/>
      <c r="U8" s="7"/>
      <c r="V8" s="7"/>
      <c r="W8" s="7"/>
      <c r="X8" s="14"/>
      <c r="Y8" s="14"/>
      <c r="Z8" s="7" t="s">
        <v>88</v>
      </c>
    </row>
    <row r="9" customFormat="false" ht="44" hidden="false" customHeight="false" outlineLevel="0" collapsed="false">
      <c r="A9" s="13" t="s">
        <v>129</v>
      </c>
      <c r="B9" s="4" t="s">
        <v>130</v>
      </c>
      <c r="C9" s="3" t="s">
        <v>131</v>
      </c>
      <c r="D9" s="3" t="s">
        <v>81</v>
      </c>
      <c r="E9" s="3" t="s">
        <v>132</v>
      </c>
      <c r="F9" s="3" t="s">
        <v>133</v>
      </c>
      <c r="G9" s="3" t="s">
        <v>134</v>
      </c>
      <c r="H9" s="3" t="s">
        <v>85</v>
      </c>
      <c r="I9" s="3" t="s">
        <v>135</v>
      </c>
      <c r="J9" s="3" t="s">
        <v>136</v>
      </c>
      <c r="K9" s="7"/>
      <c r="L9" s="7"/>
      <c r="M9" s="14"/>
      <c r="N9" s="8"/>
      <c r="O9" s="7"/>
      <c r="P9" s="7"/>
      <c r="Q9" s="7"/>
      <c r="R9" s="8"/>
      <c r="S9" s="7"/>
      <c r="T9" s="8"/>
      <c r="U9" s="7"/>
      <c r="V9" s="7"/>
      <c r="W9" s="7"/>
      <c r="X9" s="14"/>
      <c r="Y9" s="14"/>
      <c r="Z9" s="7" t="s">
        <v>88</v>
      </c>
    </row>
    <row r="10" customFormat="false" ht="58.2" hidden="false" customHeight="false" outlineLevel="0" collapsed="false">
      <c r="A10" s="13" t="s">
        <v>137</v>
      </c>
      <c r="B10" s="4" t="s">
        <v>130</v>
      </c>
      <c r="C10" s="3" t="s">
        <v>131</v>
      </c>
      <c r="D10" s="3" t="s">
        <v>81</v>
      </c>
      <c r="E10" s="3" t="s">
        <v>138</v>
      </c>
      <c r="F10" s="3" t="s">
        <v>139</v>
      </c>
      <c r="G10" s="3" t="s">
        <v>140</v>
      </c>
      <c r="H10" s="3" t="s">
        <v>85</v>
      </c>
      <c r="I10" s="3" t="s">
        <v>141</v>
      </c>
      <c r="J10" s="3" t="s">
        <v>142</v>
      </c>
      <c r="K10" s="7"/>
      <c r="L10" s="7"/>
      <c r="M10" s="14"/>
      <c r="N10" s="8"/>
      <c r="O10" s="7"/>
      <c r="P10" s="7"/>
      <c r="Q10" s="7"/>
      <c r="R10" s="8"/>
      <c r="S10" s="7"/>
      <c r="T10" s="8"/>
      <c r="U10" s="7"/>
      <c r="V10" s="7"/>
      <c r="W10" s="7"/>
      <c r="X10" s="14"/>
      <c r="Y10" s="14"/>
      <c r="Z10" s="7" t="s">
        <v>88</v>
      </c>
    </row>
    <row r="11" customFormat="false" ht="44" hidden="false" customHeight="false" outlineLevel="0" collapsed="false">
      <c r="A11" s="13" t="s">
        <v>143</v>
      </c>
      <c r="B11" s="4" t="s">
        <v>130</v>
      </c>
      <c r="C11" s="3" t="s">
        <v>131</v>
      </c>
      <c r="D11" s="3" t="s">
        <v>81</v>
      </c>
      <c r="E11" s="3" t="s">
        <v>144</v>
      </c>
      <c r="F11" s="3" t="s">
        <v>145</v>
      </c>
      <c r="G11" s="3" t="s">
        <v>134</v>
      </c>
      <c r="H11" s="3" t="s">
        <v>85</v>
      </c>
      <c r="I11" s="3" t="s">
        <v>146</v>
      </c>
      <c r="J11" s="3" t="s">
        <v>147</v>
      </c>
      <c r="K11" s="7"/>
      <c r="L11" s="7"/>
      <c r="M11" s="14"/>
      <c r="N11" s="8"/>
      <c r="O11" s="7"/>
      <c r="P11" s="7"/>
      <c r="Q11" s="7"/>
      <c r="R11" s="8"/>
      <c r="S11" s="7"/>
      <c r="T11" s="8"/>
      <c r="U11" s="7"/>
      <c r="V11" s="7"/>
      <c r="W11" s="7"/>
      <c r="X11" s="14"/>
      <c r="Y11" s="14"/>
      <c r="Z11" s="7" t="s">
        <v>88</v>
      </c>
    </row>
    <row r="12" customFormat="false" ht="29.85" hidden="false" customHeight="false" outlineLevel="0" collapsed="false">
      <c r="A12" s="13" t="s">
        <v>148</v>
      </c>
      <c r="B12" s="4" t="s">
        <v>130</v>
      </c>
      <c r="C12" s="3" t="s">
        <v>131</v>
      </c>
      <c r="D12" s="3" t="s">
        <v>81</v>
      </c>
      <c r="E12" s="4" t="s">
        <v>149</v>
      </c>
      <c r="F12" s="3" t="s">
        <v>150</v>
      </c>
      <c r="G12" s="3" t="s">
        <v>151</v>
      </c>
      <c r="H12" s="3" t="s">
        <v>85</v>
      </c>
      <c r="I12" s="4" t="s">
        <v>152</v>
      </c>
      <c r="J12" s="3" t="s">
        <v>153</v>
      </c>
      <c r="K12" s="7"/>
      <c r="L12" s="7"/>
      <c r="M12" s="14"/>
      <c r="N12" s="8"/>
      <c r="O12" s="7"/>
      <c r="P12" s="7"/>
      <c r="Q12" s="7"/>
      <c r="R12" s="8"/>
      <c r="S12" s="7"/>
      <c r="T12" s="8"/>
      <c r="U12" s="7"/>
      <c r="V12" s="7"/>
      <c r="W12" s="7"/>
      <c r="X12" s="14"/>
      <c r="Y12" s="14"/>
      <c r="Z12" s="7" t="s">
        <v>88</v>
      </c>
    </row>
    <row r="13" customFormat="false" ht="29.85" hidden="false" customHeight="false" outlineLevel="0" collapsed="false">
      <c r="A13" s="13" t="s">
        <v>154</v>
      </c>
      <c r="B13" s="4" t="s">
        <v>130</v>
      </c>
      <c r="C13" s="3" t="s">
        <v>131</v>
      </c>
      <c r="D13" s="3" t="s">
        <v>81</v>
      </c>
      <c r="E13" s="3" t="s">
        <v>155</v>
      </c>
      <c r="F13" s="3" t="s">
        <v>156</v>
      </c>
      <c r="G13" s="3" t="s">
        <v>115</v>
      </c>
      <c r="H13" s="3" t="s">
        <v>85</v>
      </c>
      <c r="I13" s="3" t="s">
        <v>157</v>
      </c>
      <c r="J13" s="3" t="s">
        <v>158</v>
      </c>
      <c r="K13" s="7"/>
      <c r="L13" s="7"/>
      <c r="M13" s="14"/>
      <c r="N13" s="8"/>
      <c r="O13" s="7"/>
      <c r="P13" s="7"/>
      <c r="Q13" s="7"/>
      <c r="R13" s="8"/>
      <c r="S13" s="7"/>
      <c r="T13" s="8"/>
      <c r="U13" s="7"/>
      <c r="V13" s="7"/>
      <c r="W13" s="7"/>
      <c r="X13" s="14"/>
      <c r="Y13" s="14"/>
      <c r="Z13" s="7" t="s">
        <v>88</v>
      </c>
    </row>
    <row r="14" customFormat="false" ht="44" hidden="false" customHeight="false" outlineLevel="0" collapsed="false">
      <c r="A14" s="13" t="s">
        <v>159</v>
      </c>
      <c r="B14" s="4" t="s">
        <v>130</v>
      </c>
      <c r="C14" s="3" t="s">
        <v>131</v>
      </c>
      <c r="D14" s="3" t="s">
        <v>81</v>
      </c>
      <c r="E14" s="4" t="s">
        <v>160</v>
      </c>
      <c r="F14" s="3" t="s">
        <v>161</v>
      </c>
      <c r="G14" s="3" t="s">
        <v>134</v>
      </c>
      <c r="H14" s="3" t="s">
        <v>85</v>
      </c>
      <c r="I14" s="3" t="s">
        <v>162</v>
      </c>
      <c r="J14" s="3" t="s">
        <v>163</v>
      </c>
      <c r="K14" s="7"/>
      <c r="L14" s="7"/>
      <c r="M14" s="14"/>
      <c r="N14" s="8"/>
      <c r="O14" s="7"/>
      <c r="P14" s="7"/>
      <c r="Q14" s="7"/>
      <c r="R14" s="8"/>
      <c r="S14" s="7"/>
      <c r="T14" s="8"/>
      <c r="U14" s="7"/>
      <c r="V14" s="7"/>
      <c r="W14" s="7"/>
      <c r="X14" s="14"/>
      <c r="Y14" s="14"/>
      <c r="Z14" s="7" t="s">
        <v>88</v>
      </c>
    </row>
    <row r="15" customFormat="false" ht="44" hidden="false" customHeight="false" outlineLevel="0" collapsed="false">
      <c r="A15" s="13" t="s">
        <v>164</v>
      </c>
      <c r="B15" s="4" t="s">
        <v>130</v>
      </c>
      <c r="C15" s="3" t="s">
        <v>131</v>
      </c>
      <c r="D15" s="3" t="s">
        <v>106</v>
      </c>
      <c r="E15" s="3" t="s">
        <v>165</v>
      </c>
      <c r="F15" s="3" t="s">
        <v>166</v>
      </c>
      <c r="G15" s="3" t="s">
        <v>167</v>
      </c>
      <c r="H15" s="3" t="s">
        <v>85</v>
      </c>
      <c r="I15" s="3" t="s">
        <v>168</v>
      </c>
      <c r="J15" s="3" t="s">
        <v>169</v>
      </c>
      <c r="K15" s="7"/>
      <c r="L15" s="7"/>
      <c r="M15" s="14"/>
      <c r="N15" s="8"/>
      <c r="O15" s="7"/>
      <c r="P15" s="7"/>
      <c r="Q15" s="7"/>
      <c r="R15" s="8"/>
      <c r="S15" s="7"/>
      <c r="T15" s="8"/>
      <c r="U15" s="7"/>
      <c r="V15" s="7"/>
      <c r="W15" s="7"/>
      <c r="X15" s="14"/>
      <c r="Y15" s="14"/>
      <c r="Z15" s="7" t="s">
        <v>88</v>
      </c>
    </row>
    <row r="16" customFormat="false" ht="44" hidden="false" customHeight="false" outlineLevel="0" collapsed="false">
      <c r="A16" s="13" t="s">
        <v>170</v>
      </c>
      <c r="B16" s="4" t="s">
        <v>130</v>
      </c>
      <c r="C16" s="3" t="s">
        <v>131</v>
      </c>
      <c r="D16" s="3" t="s">
        <v>81</v>
      </c>
      <c r="E16" s="3" t="s">
        <v>171</v>
      </c>
      <c r="F16" s="3" t="s">
        <v>172</v>
      </c>
      <c r="G16" s="3" t="s">
        <v>126</v>
      </c>
      <c r="H16" s="3" t="s">
        <v>85</v>
      </c>
      <c r="I16" s="3" t="s">
        <v>173</v>
      </c>
      <c r="J16" s="3" t="s">
        <v>174</v>
      </c>
      <c r="K16" s="7"/>
      <c r="L16" s="7"/>
      <c r="M16" s="14"/>
      <c r="N16" s="8"/>
      <c r="O16" s="7"/>
      <c r="P16" s="7"/>
      <c r="Q16" s="7"/>
      <c r="R16" s="8"/>
      <c r="S16" s="7"/>
      <c r="T16" s="8"/>
      <c r="U16" s="7"/>
      <c r="V16" s="7"/>
      <c r="W16" s="7"/>
      <c r="X16" s="14"/>
      <c r="Y16" s="14"/>
      <c r="Z16" s="7" t="s">
        <v>88</v>
      </c>
    </row>
    <row r="17" customFormat="false" ht="29.85" hidden="false" customHeight="false" outlineLevel="0" collapsed="false">
      <c r="A17" s="13" t="s">
        <v>175</v>
      </c>
      <c r="B17" s="4" t="s">
        <v>130</v>
      </c>
      <c r="C17" s="3" t="s">
        <v>131</v>
      </c>
      <c r="D17" s="3" t="s">
        <v>81</v>
      </c>
      <c r="E17" s="3" t="s">
        <v>176</v>
      </c>
      <c r="F17" s="3" t="s">
        <v>177</v>
      </c>
      <c r="G17" s="3" t="s">
        <v>178</v>
      </c>
      <c r="H17" s="3" t="s">
        <v>85</v>
      </c>
      <c r="I17" s="3" t="s">
        <v>179</v>
      </c>
      <c r="J17" s="3" t="s">
        <v>128</v>
      </c>
      <c r="K17" s="7"/>
      <c r="L17" s="7"/>
      <c r="M17" s="14"/>
      <c r="N17" s="8"/>
      <c r="O17" s="7"/>
      <c r="P17" s="7"/>
      <c r="Q17" s="7"/>
      <c r="R17" s="8"/>
      <c r="S17" s="7"/>
      <c r="T17" s="8"/>
      <c r="U17" s="7"/>
      <c r="V17" s="7"/>
      <c r="W17" s="7"/>
      <c r="X17" s="14"/>
      <c r="Y17" s="14"/>
      <c r="Z17" s="7" t="s">
        <v>88</v>
      </c>
    </row>
    <row r="18" customFormat="false" ht="58.2" hidden="false" customHeight="false" outlineLevel="0" collapsed="false">
      <c r="A18" s="13" t="s">
        <v>180</v>
      </c>
      <c r="B18" s="4" t="s">
        <v>181</v>
      </c>
      <c r="C18" s="3" t="s">
        <v>182</v>
      </c>
      <c r="D18" s="3" t="s">
        <v>106</v>
      </c>
      <c r="E18" s="3" t="s">
        <v>183</v>
      </c>
      <c r="F18" s="3" t="s">
        <v>184</v>
      </c>
      <c r="G18" s="3" t="s">
        <v>185</v>
      </c>
      <c r="H18" s="3" t="s">
        <v>85</v>
      </c>
      <c r="I18" s="3" t="s">
        <v>186</v>
      </c>
      <c r="J18" s="3" t="s">
        <v>187</v>
      </c>
      <c r="K18" s="7"/>
      <c r="L18" s="7"/>
      <c r="M18" s="14"/>
      <c r="N18" s="8"/>
      <c r="O18" s="7"/>
      <c r="P18" s="7"/>
      <c r="Q18" s="7"/>
      <c r="R18" s="8"/>
      <c r="S18" s="7"/>
      <c r="T18" s="8"/>
      <c r="U18" s="7"/>
      <c r="V18" s="7"/>
      <c r="W18" s="7"/>
      <c r="X18" s="14"/>
      <c r="Y18" s="14"/>
      <c r="Z18" s="7" t="s">
        <v>88</v>
      </c>
    </row>
    <row r="19" customFormat="false" ht="58.2" hidden="false" customHeight="false" outlineLevel="0" collapsed="false">
      <c r="A19" s="13" t="s">
        <v>188</v>
      </c>
      <c r="B19" s="4" t="s">
        <v>181</v>
      </c>
      <c r="C19" s="3" t="s">
        <v>182</v>
      </c>
      <c r="D19" s="3" t="s">
        <v>106</v>
      </c>
      <c r="E19" s="3" t="s">
        <v>189</v>
      </c>
      <c r="F19" s="3" t="s">
        <v>190</v>
      </c>
      <c r="G19" s="3" t="s">
        <v>115</v>
      </c>
      <c r="H19" s="3" t="s">
        <v>85</v>
      </c>
      <c r="I19" s="3" t="s">
        <v>191</v>
      </c>
      <c r="J19" s="3" t="s">
        <v>192</v>
      </c>
      <c r="K19" s="7"/>
      <c r="L19" s="7"/>
      <c r="M19" s="14"/>
      <c r="N19" s="8"/>
      <c r="O19" s="7"/>
      <c r="P19" s="7"/>
      <c r="Q19" s="7"/>
      <c r="R19" s="8"/>
      <c r="S19" s="7"/>
      <c r="T19" s="8"/>
      <c r="U19" s="7"/>
      <c r="V19" s="7"/>
      <c r="W19" s="7"/>
      <c r="X19" s="14"/>
      <c r="Y19" s="14"/>
      <c r="Z19" s="7" t="s">
        <v>88</v>
      </c>
    </row>
    <row r="20" customFormat="false" ht="44" hidden="false" customHeight="false" outlineLevel="0" collapsed="false">
      <c r="A20" s="13" t="s">
        <v>193</v>
      </c>
      <c r="B20" s="4" t="s">
        <v>181</v>
      </c>
      <c r="C20" s="3" t="s">
        <v>182</v>
      </c>
      <c r="D20" s="3" t="s">
        <v>106</v>
      </c>
      <c r="E20" s="3" t="s">
        <v>194</v>
      </c>
      <c r="F20" s="4" t="s">
        <v>195</v>
      </c>
      <c r="G20" s="3" t="s">
        <v>196</v>
      </c>
      <c r="H20" s="3" t="s">
        <v>85</v>
      </c>
      <c r="I20" s="3" t="s">
        <v>197</v>
      </c>
      <c r="J20" s="3" t="s">
        <v>187</v>
      </c>
      <c r="K20" s="7"/>
      <c r="L20" s="7"/>
      <c r="M20" s="14"/>
      <c r="N20" s="8"/>
      <c r="O20" s="7"/>
      <c r="P20" s="7"/>
      <c r="Q20" s="7"/>
      <c r="R20" s="8"/>
      <c r="S20" s="7"/>
      <c r="T20" s="8"/>
      <c r="U20" s="7"/>
      <c r="V20" s="7"/>
      <c r="W20" s="7"/>
      <c r="X20" s="14"/>
      <c r="Y20" s="14"/>
      <c r="Z20" s="7" t="s">
        <v>88</v>
      </c>
    </row>
    <row r="21" customFormat="false" ht="29.85" hidden="false" customHeight="false" outlineLevel="0" collapsed="false">
      <c r="A21" s="13" t="s">
        <v>198</v>
      </c>
      <c r="B21" s="4" t="s">
        <v>181</v>
      </c>
      <c r="C21" s="3" t="s">
        <v>182</v>
      </c>
      <c r="D21" s="3" t="s">
        <v>90</v>
      </c>
      <c r="E21" s="3" t="s">
        <v>199</v>
      </c>
      <c r="F21" s="3" t="s">
        <v>200</v>
      </c>
      <c r="G21" s="3" t="s">
        <v>201</v>
      </c>
      <c r="H21" s="3" t="s">
        <v>85</v>
      </c>
      <c r="I21" s="3" t="s">
        <v>202</v>
      </c>
      <c r="J21" s="3" t="s">
        <v>128</v>
      </c>
      <c r="K21" s="7"/>
      <c r="L21" s="7"/>
      <c r="M21" s="14"/>
      <c r="N21" s="8"/>
      <c r="O21" s="7"/>
      <c r="P21" s="7"/>
      <c r="Q21" s="7"/>
      <c r="R21" s="8"/>
      <c r="S21" s="7"/>
      <c r="T21" s="8"/>
      <c r="U21" s="7"/>
      <c r="V21" s="7"/>
      <c r="W21" s="7"/>
      <c r="X21" s="14"/>
      <c r="Y21" s="14"/>
      <c r="Z21" s="7" t="s">
        <v>88</v>
      </c>
    </row>
    <row r="22" customFormat="false" ht="44" hidden="false" customHeight="false" outlineLevel="0" collapsed="false">
      <c r="A22" s="13" t="s">
        <v>203</v>
      </c>
      <c r="B22" s="4" t="s">
        <v>181</v>
      </c>
      <c r="C22" s="3" t="s">
        <v>182</v>
      </c>
      <c r="D22" s="3" t="s">
        <v>81</v>
      </c>
      <c r="E22" s="3" t="s">
        <v>204</v>
      </c>
      <c r="F22" s="3" t="s">
        <v>205</v>
      </c>
      <c r="G22" s="4" t="s">
        <v>206</v>
      </c>
      <c r="H22" s="4" t="s">
        <v>207</v>
      </c>
      <c r="I22" s="3" t="s">
        <v>208</v>
      </c>
      <c r="J22" s="3" t="s">
        <v>209</v>
      </c>
      <c r="K22" s="7"/>
      <c r="L22" s="7"/>
      <c r="M22" s="14"/>
      <c r="N22" s="8"/>
      <c r="O22" s="7"/>
      <c r="P22" s="7"/>
      <c r="Q22" s="7"/>
      <c r="R22" s="8"/>
      <c r="S22" s="7"/>
      <c r="T22" s="8"/>
      <c r="U22" s="7"/>
      <c r="V22" s="7"/>
      <c r="W22" s="7"/>
      <c r="X22" s="14"/>
      <c r="Y22" s="14"/>
      <c r="Z22" s="7" t="s">
        <v>88</v>
      </c>
    </row>
    <row r="23" customFormat="false" ht="44" hidden="false" customHeight="false" outlineLevel="0" collapsed="false">
      <c r="A23" s="13" t="s">
        <v>210</v>
      </c>
      <c r="B23" s="4" t="s">
        <v>211</v>
      </c>
      <c r="C23" s="3" t="s">
        <v>212</v>
      </c>
      <c r="D23" s="3" t="s">
        <v>81</v>
      </c>
      <c r="E23" s="3" t="s">
        <v>213</v>
      </c>
      <c r="F23" s="3" t="s">
        <v>214</v>
      </c>
      <c r="G23" s="3" t="s">
        <v>134</v>
      </c>
      <c r="H23" s="3" t="s">
        <v>85</v>
      </c>
      <c r="I23" s="3" t="s">
        <v>215</v>
      </c>
      <c r="J23" s="3" t="s">
        <v>216</v>
      </c>
      <c r="K23" s="7"/>
      <c r="L23" s="7"/>
      <c r="M23" s="14"/>
      <c r="N23" s="8"/>
      <c r="O23" s="7"/>
      <c r="P23" s="7"/>
      <c r="Q23" s="7"/>
      <c r="R23" s="8"/>
      <c r="S23" s="7"/>
      <c r="T23" s="8"/>
      <c r="U23" s="7"/>
      <c r="V23" s="7"/>
      <c r="W23" s="7"/>
      <c r="X23" s="14"/>
      <c r="Y23" s="14"/>
      <c r="Z23" s="7" t="s">
        <v>88</v>
      </c>
    </row>
    <row r="24" customFormat="false" ht="29.85" hidden="false" customHeight="false" outlineLevel="0" collapsed="false">
      <c r="A24" s="13" t="s">
        <v>217</v>
      </c>
      <c r="B24" s="4" t="s">
        <v>211</v>
      </c>
      <c r="C24" s="3" t="s">
        <v>212</v>
      </c>
      <c r="D24" s="3" t="s">
        <v>81</v>
      </c>
      <c r="E24" s="3" t="s">
        <v>218</v>
      </c>
      <c r="F24" s="3" t="s">
        <v>219</v>
      </c>
      <c r="G24" s="3" t="s">
        <v>134</v>
      </c>
      <c r="H24" s="3" t="s">
        <v>85</v>
      </c>
      <c r="I24" s="3" t="s">
        <v>220</v>
      </c>
      <c r="J24" s="3" t="s">
        <v>187</v>
      </c>
      <c r="K24" s="7"/>
      <c r="L24" s="7"/>
      <c r="M24" s="14"/>
      <c r="N24" s="8"/>
      <c r="O24" s="7"/>
      <c r="P24" s="7"/>
      <c r="Q24" s="7"/>
      <c r="R24" s="8"/>
      <c r="S24" s="7"/>
      <c r="T24" s="8"/>
      <c r="U24" s="7"/>
      <c r="V24" s="7"/>
      <c r="W24" s="7"/>
      <c r="X24" s="14"/>
      <c r="Y24" s="14"/>
      <c r="Z24" s="7" t="s">
        <v>88</v>
      </c>
    </row>
    <row r="25" customFormat="false" ht="29.85" hidden="false" customHeight="false" outlineLevel="0" collapsed="false">
      <c r="A25" s="13" t="s">
        <v>221</v>
      </c>
      <c r="B25" s="4" t="s">
        <v>211</v>
      </c>
      <c r="C25" s="3" t="s">
        <v>212</v>
      </c>
      <c r="D25" s="3" t="s">
        <v>90</v>
      </c>
      <c r="E25" s="4" t="s">
        <v>222</v>
      </c>
      <c r="F25" s="3" t="s">
        <v>223</v>
      </c>
      <c r="G25" s="3" t="s">
        <v>224</v>
      </c>
      <c r="H25" s="4" t="s">
        <v>207</v>
      </c>
      <c r="I25" s="3" t="s">
        <v>225</v>
      </c>
      <c r="J25" s="3" t="s">
        <v>226</v>
      </c>
      <c r="K25" s="7"/>
      <c r="L25" s="7"/>
      <c r="M25" s="14"/>
      <c r="N25" s="8"/>
      <c r="O25" s="7"/>
      <c r="P25" s="7"/>
      <c r="Q25" s="7"/>
      <c r="R25" s="8"/>
      <c r="S25" s="7"/>
      <c r="T25" s="8"/>
      <c r="U25" s="7"/>
      <c r="V25" s="7"/>
      <c r="W25" s="7"/>
      <c r="X25" s="14"/>
      <c r="Y25" s="14"/>
      <c r="Z25" s="7" t="s">
        <v>88</v>
      </c>
    </row>
    <row r="26" customFormat="false" ht="44" hidden="false" customHeight="false" outlineLevel="0" collapsed="false">
      <c r="A26" s="13" t="s">
        <v>227</v>
      </c>
      <c r="B26" s="4" t="s">
        <v>228</v>
      </c>
      <c r="C26" s="3" t="s">
        <v>229</v>
      </c>
      <c r="D26" s="3" t="s">
        <v>81</v>
      </c>
      <c r="E26" s="3" t="s">
        <v>230</v>
      </c>
      <c r="F26" s="3" t="s">
        <v>231</v>
      </c>
      <c r="G26" s="3" t="s">
        <v>134</v>
      </c>
      <c r="H26" s="3" t="s">
        <v>85</v>
      </c>
      <c r="I26" s="3" t="s">
        <v>232</v>
      </c>
      <c r="J26" s="3" t="s">
        <v>233</v>
      </c>
      <c r="K26" s="7"/>
      <c r="L26" s="7"/>
      <c r="M26" s="14"/>
      <c r="N26" s="8"/>
      <c r="O26" s="7"/>
      <c r="P26" s="7"/>
      <c r="Q26" s="7"/>
      <c r="R26" s="8"/>
      <c r="S26" s="7"/>
      <c r="T26" s="8"/>
      <c r="U26" s="7"/>
      <c r="V26" s="7"/>
      <c r="W26" s="7"/>
      <c r="X26" s="14"/>
      <c r="Y26" s="14"/>
      <c r="Z26" s="7" t="s">
        <v>88</v>
      </c>
    </row>
    <row r="27" customFormat="false" ht="29.85" hidden="false" customHeight="false" outlineLevel="0" collapsed="false">
      <c r="A27" s="13" t="s">
        <v>234</v>
      </c>
      <c r="B27" s="4" t="s">
        <v>228</v>
      </c>
      <c r="C27" s="3" t="s">
        <v>229</v>
      </c>
      <c r="D27" s="3" t="s">
        <v>90</v>
      </c>
      <c r="E27" s="3" t="s">
        <v>235</v>
      </c>
      <c r="F27" s="3" t="s">
        <v>236</v>
      </c>
      <c r="G27" s="3" t="s">
        <v>134</v>
      </c>
      <c r="H27" s="3" t="s">
        <v>85</v>
      </c>
      <c r="I27" s="3" t="s">
        <v>237</v>
      </c>
      <c r="J27" s="3" t="s">
        <v>128</v>
      </c>
      <c r="K27" s="7"/>
      <c r="L27" s="7"/>
      <c r="M27" s="14"/>
      <c r="N27" s="8"/>
      <c r="O27" s="7"/>
      <c r="P27" s="7"/>
      <c r="Q27" s="7"/>
      <c r="R27" s="8"/>
      <c r="S27" s="7"/>
      <c r="T27" s="8"/>
      <c r="U27" s="7"/>
      <c r="V27" s="7"/>
      <c r="W27" s="7"/>
      <c r="X27" s="14"/>
      <c r="Y27" s="14"/>
      <c r="Z27" s="7" t="s">
        <v>88</v>
      </c>
    </row>
    <row r="28" customFormat="false" ht="44" hidden="false" customHeight="false" outlineLevel="0" collapsed="false">
      <c r="A28" s="13" t="s">
        <v>238</v>
      </c>
      <c r="B28" s="4" t="s">
        <v>239</v>
      </c>
      <c r="C28" s="3" t="s">
        <v>240</v>
      </c>
      <c r="D28" s="3" t="s">
        <v>81</v>
      </c>
      <c r="E28" s="3" t="s">
        <v>241</v>
      </c>
      <c r="F28" s="3" t="s">
        <v>242</v>
      </c>
      <c r="G28" s="3" t="s">
        <v>134</v>
      </c>
      <c r="H28" s="3" t="s">
        <v>85</v>
      </c>
      <c r="I28" s="3" t="s">
        <v>243</v>
      </c>
      <c r="J28" s="3" t="s">
        <v>244</v>
      </c>
      <c r="K28" s="7"/>
      <c r="L28" s="7"/>
      <c r="M28" s="14"/>
      <c r="N28" s="8"/>
      <c r="O28" s="7"/>
      <c r="P28" s="7"/>
      <c r="Q28" s="7"/>
      <c r="R28" s="8"/>
      <c r="S28" s="7"/>
      <c r="T28" s="8"/>
      <c r="U28" s="7"/>
      <c r="V28" s="7"/>
      <c r="W28" s="7"/>
      <c r="X28" s="14"/>
      <c r="Y28" s="14"/>
      <c r="Z28" s="7" t="s">
        <v>88</v>
      </c>
    </row>
    <row r="29" customFormat="false" ht="72.35" hidden="false" customHeight="false" outlineLevel="0" collapsed="false">
      <c r="A29" s="13" t="s">
        <v>245</v>
      </c>
      <c r="B29" s="4" t="s">
        <v>239</v>
      </c>
      <c r="C29" s="3" t="s">
        <v>240</v>
      </c>
      <c r="D29" s="3" t="s">
        <v>81</v>
      </c>
      <c r="E29" s="3" t="s">
        <v>246</v>
      </c>
      <c r="F29" s="3" t="s">
        <v>247</v>
      </c>
      <c r="G29" s="3" t="s">
        <v>248</v>
      </c>
      <c r="H29" s="3" t="s">
        <v>85</v>
      </c>
      <c r="I29" s="3" t="s">
        <v>249</v>
      </c>
      <c r="J29" s="3" t="s">
        <v>153</v>
      </c>
      <c r="K29" s="7"/>
      <c r="L29" s="7"/>
      <c r="M29" s="14"/>
      <c r="N29" s="8"/>
      <c r="O29" s="7"/>
      <c r="P29" s="7"/>
      <c r="Q29" s="7"/>
      <c r="R29" s="8"/>
      <c r="S29" s="7"/>
      <c r="T29" s="8"/>
      <c r="U29" s="7"/>
      <c r="V29" s="7"/>
      <c r="W29" s="7"/>
      <c r="X29" s="14"/>
      <c r="Y29" s="14"/>
      <c r="Z29" s="7" t="s">
        <v>88</v>
      </c>
    </row>
    <row r="30" customFormat="false" ht="44" hidden="false" customHeight="false" outlineLevel="0" collapsed="false">
      <c r="A30" s="13" t="s">
        <v>250</v>
      </c>
      <c r="B30" s="4" t="s">
        <v>239</v>
      </c>
      <c r="C30" s="3" t="s">
        <v>240</v>
      </c>
      <c r="D30" s="3" t="s">
        <v>106</v>
      </c>
      <c r="E30" s="3" t="s">
        <v>251</v>
      </c>
      <c r="F30" s="3" t="s">
        <v>252</v>
      </c>
      <c r="G30" s="3" t="s">
        <v>253</v>
      </c>
      <c r="H30" s="3" t="s">
        <v>85</v>
      </c>
      <c r="I30" s="3" t="s">
        <v>254</v>
      </c>
      <c r="J30" s="3" t="s">
        <v>187</v>
      </c>
      <c r="K30" s="7"/>
      <c r="L30" s="7"/>
      <c r="M30" s="14"/>
      <c r="N30" s="8"/>
      <c r="O30" s="7"/>
      <c r="P30" s="7"/>
      <c r="Q30" s="7"/>
      <c r="R30" s="8"/>
      <c r="S30" s="7"/>
      <c r="T30" s="8"/>
      <c r="U30" s="7"/>
      <c r="V30" s="7"/>
      <c r="W30" s="7"/>
      <c r="X30" s="14"/>
      <c r="Y30" s="14"/>
      <c r="Z30" s="7" t="s">
        <v>88</v>
      </c>
    </row>
    <row r="31" customFormat="false" ht="58.2" hidden="false" customHeight="false" outlineLevel="0" collapsed="false">
      <c r="A31" s="13" t="s">
        <v>255</v>
      </c>
      <c r="B31" s="4" t="s">
        <v>256</v>
      </c>
      <c r="C31" s="3" t="s">
        <v>257</v>
      </c>
      <c r="D31" s="3" t="s">
        <v>90</v>
      </c>
      <c r="E31" s="3" t="s">
        <v>258</v>
      </c>
      <c r="F31" s="3" t="s">
        <v>259</v>
      </c>
      <c r="G31" s="3" t="s">
        <v>260</v>
      </c>
      <c r="H31" s="3" t="s">
        <v>85</v>
      </c>
      <c r="I31" s="3" t="s">
        <v>261</v>
      </c>
      <c r="J31" s="3" t="s">
        <v>262</v>
      </c>
      <c r="K31" s="7"/>
      <c r="L31" s="7"/>
      <c r="M31" s="14"/>
      <c r="N31" s="8"/>
      <c r="O31" s="7"/>
      <c r="P31" s="7"/>
      <c r="Q31" s="7"/>
      <c r="R31" s="8"/>
      <c r="S31" s="7"/>
      <c r="T31" s="8"/>
      <c r="U31" s="7"/>
      <c r="V31" s="7"/>
      <c r="W31" s="7"/>
      <c r="X31" s="14"/>
      <c r="Y31" s="14"/>
      <c r="Z31" s="7" t="s">
        <v>88</v>
      </c>
    </row>
    <row r="32" customFormat="false" ht="44" hidden="false" customHeight="false" outlineLevel="0" collapsed="false">
      <c r="A32" s="13" t="s">
        <v>263</v>
      </c>
      <c r="B32" s="4" t="s">
        <v>256</v>
      </c>
      <c r="C32" s="3" t="s">
        <v>257</v>
      </c>
      <c r="D32" s="3" t="s">
        <v>90</v>
      </c>
      <c r="E32" s="3" t="s">
        <v>264</v>
      </c>
      <c r="F32" s="3" t="s">
        <v>265</v>
      </c>
      <c r="G32" s="3" t="s">
        <v>115</v>
      </c>
      <c r="H32" s="3" t="s">
        <v>85</v>
      </c>
      <c r="I32" s="3" t="s">
        <v>266</v>
      </c>
      <c r="J32" s="3" t="s">
        <v>267</v>
      </c>
      <c r="K32" s="7"/>
      <c r="L32" s="7"/>
      <c r="M32" s="14"/>
      <c r="N32" s="8"/>
      <c r="O32" s="7"/>
      <c r="P32" s="7"/>
      <c r="Q32" s="7"/>
      <c r="R32" s="8"/>
      <c r="S32" s="7"/>
      <c r="T32" s="8"/>
      <c r="U32" s="7"/>
      <c r="V32" s="7"/>
      <c r="W32" s="7"/>
      <c r="X32" s="14"/>
      <c r="Y32" s="14"/>
      <c r="Z32" s="7" t="s">
        <v>88</v>
      </c>
    </row>
    <row r="33" customFormat="false" ht="44" hidden="false" customHeight="false" outlineLevel="0" collapsed="false">
      <c r="A33" s="13" t="s">
        <v>268</v>
      </c>
      <c r="B33" s="4" t="s">
        <v>256</v>
      </c>
      <c r="C33" s="3" t="s">
        <v>257</v>
      </c>
      <c r="D33" s="3" t="s">
        <v>90</v>
      </c>
      <c r="E33" s="3" t="s">
        <v>269</v>
      </c>
      <c r="F33" s="3" t="s">
        <v>270</v>
      </c>
      <c r="G33" s="3" t="s">
        <v>115</v>
      </c>
      <c r="H33" s="3" t="s">
        <v>85</v>
      </c>
      <c r="I33" s="3" t="s">
        <v>271</v>
      </c>
      <c r="J33" s="3" t="s">
        <v>128</v>
      </c>
      <c r="K33" s="7"/>
      <c r="L33" s="7"/>
      <c r="M33" s="14"/>
      <c r="N33" s="8"/>
      <c r="O33" s="7"/>
      <c r="P33" s="7"/>
      <c r="Q33" s="7"/>
      <c r="R33" s="8"/>
      <c r="S33" s="7"/>
      <c r="T33" s="8"/>
      <c r="U33" s="7"/>
      <c r="V33" s="7"/>
      <c r="W33" s="7"/>
      <c r="X33" s="14"/>
      <c r="Y33" s="14"/>
      <c r="Z33" s="7" t="s">
        <v>88</v>
      </c>
    </row>
    <row r="34" customFormat="false" ht="29.85" hidden="false" customHeight="false" outlineLevel="0" collapsed="false">
      <c r="A34" s="13" t="s">
        <v>272</v>
      </c>
      <c r="B34" s="4" t="s">
        <v>273</v>
      </c>
      <c r="C34" s="3" t="s">
        <v>274</v>
      </c>
      <c r="D34" s="3" t="s">
        <v>106</v>
      </c>
      <c r="E34" s="3" t="s">
        <v>275</v>
      </c>
      <c r="F34" s="3" t="s">
        <v>276</v>
      </c>
      <c r="G34" s="3" t="s">
        <v>277</v>
      </c>
      <c r="H34" s="3" t="s">
        <v>85</v>
      </c>
      <c r="I34" s="3" t="s">
        <v>278</v>
      </c>
      <c r="J34" s="3" t="s">
        <v>128</v>
      </c>
      <c r="K34" s="7"/>
      <c r="L34" s="7"/>
      <c r="M34" s="14"/>
      <c r="N34" s="8"/>
      <c r="O34" s="7"/>
      <c r="P34" s="7"/>
      <c r="Q34" s="7"/>
      <c r="R34" s="8"/>
      <c r="S34" s="7"/>
      <c r="T34" s="8"/>
      <c r="U34" s="7"/>
      <c r="V34" s="7"/>
      <c r="W34" s="7"/>
      <c r="X34" s="14"/>
      <c r="Y34" s="14"/>
      <c r="Z34" s="7" t="s">
        <v>88</v>
      </c>
    </row>
    <row r="35" customFormat="false" ht="29.85" hidden="false" customHeight="false" outlineLevel="0" collapsed="false">
      <c r="A35" s="13" t="s">
        <v>279</v>
      </c>
      <c r="B35" s="4" t="s">
        <v>273</v>
      </c>
      <c r="C35" s="3" t="s">
        <v>274</v>
      </c>
      <c r="D35" s="3" t="s">
        <v>90</v>
      </c>
      <c r="E35" s="3" t="s">
        <v>280</v>
      </c>
      <c r="F35" s="3" t="s">
        <v>281</v>
      </c>
      <c r="G35" s="3" t="s">
        <v>115</v>
      </c>
      <c r="H35" s="3" t="s">
        <v>85</v>
      </c>
      <c r="I35" s="3" t="s">
        <v>282</v>
      </c>
      <c r="J35" s="3" t="s">
        <v>283</v>
      </c>
      <c r="K35" s="7"/>
      <c r="L35" s="7"/>
      <c r="M35" s="14"/>
      <c r="N35" s="8"/>
      <c r="O35" s="7"/>
      <c r="P35" s="7"/>
      <c r="Q35" s="7"/>
      <c r="R35" s="8"/>
      <c r="S35" s="7"/>
      <c r="T35" s="8"/>
      <c r="U35" s="7"/>
      <c r="V35" s="7"/>
      <c r="W35" s="7"/>
      <c r="X35" s="14"/>
      <c r="Y35" s="14"/>
      <c r="Z35" s="7" t="s">
        <v>88</v>
      </c>
    </row>
    <row r="36" customFormat="false" ht="44" hidden="false" customHeight="false" outlineLevel="0" collapsed="false">
      <c r="A36" s="13" t="s">
        <v>284</v>
      </c>
      <c r="B36" s="4" t="s">
        <v>285</v>
      </c>
      <c r="C36" s="3" t="s">
        <v>286</v>
      </c>
      <c r="D36" s="3" t="s">
        <v>81</v>
      </c>
      <c r="E36" s="3" t="s">
        <v>287</v>
      </c>
      <c r="F36" s="3" t="s">
        <v>288</v>
      </c>
      <c r="G36" s="3" t="s">
        <v>134</v>
      </c>
      <c r="H36" s="3" t="s">
        <v>85</v>
      </c>
      <c r="I36" s="3" t="s">
        <v>289</v>
      </c>
      <c r="J36" s="3" t="s">
        <v>153</v>
      </c>
      <c r="K36" s="7"/>
      <c r="L36" s="7"/>
      <c r="M36" s="14"/>
      <c r="N36" s="8"/>
      <c r="O36" s="7"/>
      <c r="P36" s="7"/>
      <c r="Q36" s="7"/>
      <c r="R36" s="8"/>
      <c r="S36" s="7"/>
      <c r="T36" s="8"/>
      <c r="U36" s="7"/>
      <c r="V36" s="7"/>
      <c r="W36" s="7"/>
      <c r="X36" s="14"/>
      <c r="Y36" s="14"/>
      <c r="Z36" s="7" t="s">
        <v>88</v>
      </c>
    </row>
    <row r="37" customFormat="false" ht="29.85" hidden="false" customHeight="false" outlineLevel="0" collapsed="false">
      <c r="A37" s="13" t="s">
        <v>290</v>
      </c>
      <c r="B37" s="4" t="s">
        <v>285</v>
      </c>
      <c r="C37" s="3" t="s">
        <v>286</v>
      </c>
      <c r="D37" s="3" t="s">
        <v>90</v>
      </c>
      <c r="E37" s="3" t="s">
        <v>291</v>
      </c>
      <c r="F37" s="3" t="s">
        <v>292</v>
      </c>
      <c r="G37" s="3" t="s">
        <v>134</v>
      </c>
      <c r="H37" s="3" t="s">
        <v>85</v>
      </c>
      <c r="I37" s="3" t="s">
        <v>293</v>
      </c>
      <c r="J37" s="3" t="s">
        <v>294</v>
      </c>
      <c r="K37" s="7"/>
      <c r="L37" s="7"/>
      <c r="M37" s="14"/>
      <c r="N37" s="8"/>
      <c r="O37" s="7"/>
      <c r="P37" s="7"/>
      <c r="Q37" s="7"/>
      <c r="R37" s="8"/>
      <c r="S37" s="7"/>
      <c r="T37" s="8"/>
      <c r="U37" s="7"/>
      <c r="V37" s="7"/>
      <c r="W37" s="7"/>
      <c r="X37" s="14"/>
      <c r="Y37" s="14"/>
      <c r="Z37" s="7" t="s">
        <v>88</v>
      </c>
    </row>
    <row r="38" customFormat="false" ht="29.85" hidden="false" customHeight="false" outlineLevel="0" collapsed="false">
      <c r="A38" s="13" t="s">
        <v>295</v>
      </c>
      <c r="B38" s="4" t="s">
        <v>285</v>
      </c>
      <c r="C38" s="3" t="s">
        <v>286</v>
      </c>
      <c r="D38" s="3" t="s">
        <v>90</v>
      </c>
      <c r="E38" s="3" t="s">
        <v>296</v>
      </c>
      <c r="F38" s="3" t="s">
        <v>297</v>
      </c>
      <c r="G38" s="3" t="s">
        <v>134</v>
      </c>
      <c r="H38" s="3" t="s">
        <v>85</v>
      </c>
      <c r="I38" s="3" t="s">
        <v>298</v>
      </c>
      <c r="J38" s="3" t="s">
        <v>128</v>
      </c>
      <c r="K38" s="7"/>
      <c r="L38" s="7"/>
      <c r="M38" s="14"/>
      <c r="N38" s="8"/>
      <c r="O38" s="7"/>
      <c r="P38" s="7"/>
      <c r="Q38" s="7"/>
      <c r="R38" s="8"/>
      <c r="S38" s="7"/>
      <c r="T38" s="8"/>
      <c r="U38" s="7"/>
      <c r="V38" s="7"/>
      <c r="W38" s="7"/>
      <c r="X38" s="14"/>
      <c r="Y38" s="14"/>
      <c r="Z38" s="7" t="s">
        <v>88</v>
      </c>
    </row>
    <row r="39" customFormat="false" ht="58.2" hidden="false" customHeight="false" outlineLevel="0" collapsed="false">
      <c r="A39" s="13" t="s">
        <v>299</v>
      </c>
      <c r="B39" s="4" t="s">
        <v>285</v>
      </c>
      <c r="C39" s="3" t="s">
        <v>286</v>
      </c>
      <c r="D39" s="3" t="s">
        <v>106</v>
      </c>
      <c r="E39" s="3" t="s">
        <v>300</v>
      </c>
      <c r="F39" s="3" t="s">
        <v>301</v>
      </c>
      <c r="G39" s="3" t="s">
        <v>302</v>
      </c>
      <c r="H39" s="3" t="s">
        <v>85</v>
      </c>
      <c r="I39" s="3" t="s">
        <v>303</v>
      </c>
      <c r="J39" s="3" t="s">
        <v>187</v>
      </c>
      <c r="K39" s="7"/>
      <c r="L39" s="7"/>
      <c r="M39" s="14"/>
      <c r="N39" s="8"/>
      <c r="O39" s="7"/>
      <c r="P39" s="7"/>
      <c r="Q39" s="7"/>
      <c r="R39" s="8"/>
      <c r="S39" s="7"/>
      <c r="T39" s="8"/>
      <c r="U39" s="7"/>
      <c r="V39" s="7"/>
      <c r="W39" s="7"/>
      <c r="X39" s="14"/>
      <c r="Y39" s="14"/>
      <c r="Z39" s="7" t="s">
        <v>88</v>
      </c>
    </row>
    <row r="40" customFormat="false" ht="44" hidden="false" customHeight="false" outlineLevel="0" collapsed="false">
      <c r="A40" s="13" t="s">
        <v>304</v>
      </c>
      <c r="B40" s="4" t="s">
        <v>305</v>
      </c>
      <c r="C40" s="3" t="s">
        <v>306</v>
      </c>
      <c r="D40" s="3" t="s">
        <v>81</v>
      </c>
      <c r="E40" s="3" t="s">
        <v>307</v>
      </c>
      <c r="F40" s="3" t="s">
        <v>308</v>
      </c>
      <c r="G40" s="3" t="s">
        <v>309</v>
      </c>
      <c r="H40" s="3" t="s">
        <v>85</v>
      </c>
      <c r="I40" s="3" t="s">
        <v>310</v>
      </c>
      <c r="J40" s="3" t="s">
        <v>311</v>
      </c>
      <c r="K40" s="7"/>
      <c r="L40" s="7"/>
      <c r="M40" s="14"/>
      <c r="N40" s="8"/>
      <c r="O40" s="7"/>
      <c r="P40" s="7"/>
      <c r="Q40" s="7"/>
      <c r="R40" s="8"/>
      <c r="S40" s="7"/>
      <c r="T40" s="8"/>
      <c r="U40" s="7"/>
      <c r="V40" s="7"/>
      <c r="W40" s="7"/>
      <c r="X40" s="14"/>
      <c r="Y40" s="14"/>
      <c r="Z40" s="7" t="s">
        <v>88</v>
      </c>
    </row>
    <row r="41" customFormat="false" ht="44" hidden="false" customHeight="false" outlineLevel="0" collapsed="false">
      <c r="A41" s="13" t="s">
        <v>312</v>
      </c>
      <c r="B41" s="4" t="s">
        <v>305</v>
      </c>
      <c r="C41" s="3" t="s">
        <v>306</v>
      </c>
      <c r="D41" s="3" t="s">
        <v>106</v>
      </c>
      <c r="E41" s="3" t="s">
        <v>313</v>
      </c>
      <c r="F41" s="3" t="s">
        <v>314</v>
      </c>
      <c r="G41" s="3" t="s">
        <v>315</v>
      </c>
      <c r="H41" s="4" t="s">
        <v>207</v>
      </c>
      <c r="I41" s="3" t="s">
        <v>316</v>
      </c>
      <c r="J41" s="3" t="s">
        <v>49</v>
      </c>
      <c r="K41" s="7"/>
      <c r="L41" s="7"/>
      <c r="M41" s="14"/>
      <c r="N41" s="8"/>
      <c r="O41" s="7"/>
      <c r="P41" s="7"/>
      <c r="Q41" s="7"/>
      <c r="R41" s="8"/>
      <c r="S41" s="7"/>
      <c r="T41" s="8"/>
      <c r="U41" s="7"/>
      <c r="V41" s="7"/>
      <c r="W41" s="7"/>
      <c r="X41" s="14"/>
      <c r="Y41" s="14"/>
      <c r="Z41" s="7" t="s">
        <v>88</v>
      </c>
    </row>
    <row r="42" customFormat="false" ht="29.85" hidden="false" customHeight="false" outlineLevel="0" collapsed="false">
      <c r="A42" s="13" t="s">
        <v>317</v>
      </c>
      <c r="B42" s="4" t="s">
        <v>305</v>
      </c>
      <c r="C42" s="3" t="s">
        <v>306</v>
      </c>
      <c r="D42" s="3" t="s">
        <v>90</v>
      </c>
      <c r="E42" s="3" t="s">
        <v>318</v>
      </c>
      <c r="F42" s="3" t="s">
        <v>319</v>
      </c>
      <c r="G42" s="3" t="s">
        <v>134</v>
      </c>
      <c r="H42" s="3" t="s">
        <v>85</v>
      </c>
      <c r="I42" s="4" t="s">
        <v>320</v>
      </c>
      <c r="J42" s="3" t="s">
        <v>321</v>
      </c>
      <c r="K42" s="7"/>
      <c r="L42" s="7"/>
      <c r="M42" s="14"/>
      <c r="N42" s="8"/>
      <c r="O42" s="7"/>
      <c r="P42" s="7"/>
      <c r="Q42" s="7"/>
      <c r="R42" s="8"/>
      <c r="S42" s="7"/>
      <c r="T42" s="8"/>
      <c r="U42" s="7"/>
      <c r="V42" s="7"/>
      <c r="W42" s="7"/>
      <c r="X42" s="14"/>
      <c r="Y42" s="14"/>
      <c r="Z42" s="7" t="s">
        <v>88</v>
      </c>
    </row>
    <row r="43" customFormat="false" ht="72.35" hidden="false" customHeight="false" outlineLevel="0" collapsed="false">
      <c r="A43" s="13" t="s">
        <v>322</v>
      </c>
      <c r="B43" s="4" t="s">
        <v>323</v>
      </c>
      <c r="C43" s="3" t="s">
        <v>324</v>
      </c>
      <c r="D43" s="3" t="s">
        <v>81</v>
      </c>
      <c r="E43" s="3" t="s">
        <v>325</v>
      </c>
      <c r="F43" s="3" t="s">
        <v>326</v>
      </c>
      <c r="G43" s="3" t="s">
        <v>151</v>
      </c>
      <c r="H43" s="3" t="s">
        <v>85</v>
      </c>
      <c r="I43" s="3" t="s">
        <v>327</v>
      </c>
      <c r="J43" s="3" t="s">
        <v>128</v>
      </c>
      <c r="K43" s="7"/>
      <c r="L43" s="7"/>
      <c r="M43" s="14"/>
      <c r="N43" s="8"/>
      <c r="O43" s="7"/>
      <c r="P43" s="7"/>
      <c r="Q43" s="7"/>
      <c r="R43" s="8"/>
      <c r="S43" s="7"/>
      <c r="T43" s="8"/>
      <c r="U43" s="7"/>
      <c r="V43" s="7"/>
      <c r="W43" s="7"/>
      <c r="X43" s="14"/>
      <c r="Y43" s="14"/>
      <c r="Z43" s="7" t="s">
        <v>88</v>
      </c>
    </row>
    <row r="44" customFormat="false" ht="58.2" hidden="false" customHeight="false" outlineLevel="0" collapsed="false">
      <c r="A44" s="13" t="s">
        <v>328</v>
      </c>
      <c r="B44" s="4" t="s">
        <v>323</v>
      </c>
      <c r="C44" s="3" t="s">
        <v>324</v>
      </c>
      <c r="D44" s="3" t="s">
        <v>106</v>
      </c>
      <c r="E44" s="3" t="s">
        <v>329</v>
      </c>
      <c r="F44" s="3" t="s">
        <v>330</v>
      </c>
      <c r="G44" s="3" t="s">
        <v>331</v>
      </c>
      <c r="H44" s="3" t="s">
        <v>85</v>
      </c>
      <c r="I44" s="3" t="s">
        <v>332</v>
      </c>
      <c r="J44" s="3" t="s">
        <v>128</v>
      </c>
      <c r="K44" s="7"/>
      <c r="L44" s="7"/>
      <c r="M44" s="14"/>
      <c r="N44" s="8"/>
      <c r="O44" s="7"/>
      <c r="P44" s="7"/>
      <c r="Q44" s="7"/>
      <c r="R44" s="8"/>
      <c r="S44" s="7"/>
      <c r="T44" s="8"/>
      <c r="U44" s="7"/>
      <c r="V44" s="7"/>
      <c r="W44" s="7"/>
      <c r="X44" s="14"/>
      <c r="Y44" s="14"/>
      <c r="Z44" s="7" t="s">
        <v>88</v>
      </c>
    </row>
    <row r="45" customFormat="false" ht="58.2" hidden="false" customHeight="false" outlineLevel="0" collapsed="false">
      <c r="A45" s="13" t="s">
        <v>333</v>
      </c>
      <c r="B45" s="4" t="s">
        <v>323</v>
      </c>
      <c r="C45" s="3" t="s">
        <v>324</v>
      </c>
      <c r="D45" s="3" t="s">
        <v>106</v>
      </c>
      <c r="E45" s="3" t="s">
        <v>334</v>
      </c>
      <c r="F45" s="3" t="s">
        <v>335</v>
      </c>
      <c r="G45" s="3" t="s">
        <v>336</v>
      </c>
      <c r="H45" s="3" t="s">
        <v>85</v>
      </c>
      <c r="I45" s="3" t="s">
        <v>337</v>
      </c>
      <c r="J45" s="3" t="s">
        <v>187</v>
      </c>
      <c r="K45" s="7"/>
      <c r="L45" s="7"/>
      <c r="M45" s="14"/>
      <c r="N45" s="8"/>
      <c r="O45" s="7"/>
      <c r="P45" s="7"/>
      <c r="Q45" s="7"/>
      <c r="R45" s="8"/>
      <c r="S45" s="7"/>
      <c r="T45" s="8"/>
      <c r="U45" s="7"/>
      <c r="V45" s="7"/>
      <c r="W45" s="7"/>
      <c r="X45" s="14"/>
      <c r="Y45" s="14"/>
      <c r="Z45" s="7" t="s">
        <v>88</v>
      </c>
    </row>
    <row r="46" customFormat="false" ht="29.85" hidden="false" customHeight="false" outlineLevel="0" collapsed="false">
      <c r="A46" s="13" t="s">
        <v>338</v>
      </c>
      <c r="B46" s="4" t="s">
        <v>323</v>
      </c>
      <c r="C46" s="3" t="s">
        <v>324</v>
      </c>
      <c r="D46" s="3" t="s">
        <v>106</v>
      </c>
      <c r="E46" s="4" t="s">
        <v>339</v>
      </c>
      <c r="F46" s="4" t="s">
        <v>340</v>
      </c>
      <c r="G46" s="3" t="s">
        <v>151</v>
      </c>
      <c r="H46" s="3" t="s">
        <v>85</v>
      </c>
      <c r="I46" s="3" t="s">
        <v>341</v>
      </c>
      <c r="J46" s="3" t="s">
        <v>128</v>
      </c>
      <c r="K46" s="7"/>
      <c r="L46" s="7"/>
      <c r="M46" s="14"/>
      <c r="N46" s="8"/>
      <c r="O46" s="7"/>
      <c r="P46" s="7"/>
      <c r="Q46" s="7"/>
      <c r="R46" s="8"/>
      <c r="S46" s="7"/>
      <c r="T46" s="8"/>
      <c r="U46" s="7"/>
      <c r="V46" s="7"/>
      <c r="W46" s="7"/>
      <c r="X46" s="14"/>
      <c r="Y46" s="14"/>
      <c r="Z46" s="7" t="s">
        <v>88</v>
      </c>
    </row>
    <row r="47" customFormat="false" ht="29.85" hidden="false" customHeight="false" outlineLevel="0" collapsed="false">
      <c r="A47" s="13" t="s">
        <v>342</v>
      </c>
      <c r="B47" s="4" t="s">
        <v>323</v>
      </c>
      <c r="C47" s="3" t="s">
        <v>324</v>
      </c>
      <c r="D47" s="3" t="s">
        <v>106</v>
      </c>
      <c r="E47" s="3" t="s">
        <v>343</v>
      </c>
      <c r="F47" s="3" t="s">
        <v>344</v>
      </c>
      <c r="G47" s="3" t="s">
        <v>345</v>
      </c>
      <c r="H47" s="3" t="s">
        <v>85</v>
      </c>
      <c r="I47" s="3" t="s">
        <v>346</v>
      </c>
      <c r="J47" s="3" t="s">
        <v>128</v>
      </c>
      <c r="K47" s="7"/>
      <c r="L47" s="7"/>
      <c r="M47" s="14"/>
      <c r="N47" s="8"/>
      <c r="O47" s="7"/>
      <c r="P47" s="7"/>
      <c r="Q47" s="7"/>
      <c r="R47" s="8"/>
      <c r="S47" s="7"/>
      <c r="T47" s="8"/>
      <c r="U47" s="7"/>
      <c r="V47" s="7"/>
      <c r="W47" s="7"/>
      <c r="X47" s="14"/>
      <c r="Y47" s="14"/>
      <c r="Z47" s="7" t="s">
        <v>88</v>
      </c>
    </row>
    <row r="48" customFormat="false" ht="29.85" hidden="false" customHeight="false" outlineLevel="0" collapsed="false">
      <c r="A48" s="13" t="s">
        <v>347</v>
      </c>
      <c r="B48" s="4" t="s">
        <v>323</v>
      </c>
      <c r="C48" s="3" t="s">
        <v>324</v>
      </c>
      <c r="D48" s="3" t="s">
        <v>81</v>
      </c>
      <c r="E48" s="4" t="s">
        <v>348</v>
      </c>
      <c r="F48" s="4" t="s">
        <v>349</v>
      </c>
      <c r="G48" s="3" t="s">
        <v>151</v>
      </c>
      <c r="H48" s="3" t="s">
        <v>85</v>
      </c>
      <c r="I48" s="4" t="s">
        <v>350</v>
      </c>
      <c r="J48" s="3" t="s">
        <v>153</v>
      </c>
      <c r="K48" s="7"/>
      <c r="L48" s="7"/>
      <c r="M48" s="14"/>
      <c r="N48" s="8"/>
      <c r="O48" s="7"/>
      <c r="P48" s="7"/>
      <c r="Q48" s="7"/>
      <c r="R48" s="8"/>
      <c r="S48" s="7"/>
      <c r="T48" s="8"/>
      <c r="U48" s="7"/>
      <c r="V48" s="7"/>
      <c r="W48" s="7"/>
      <c r="X48" s="14"/>
      <c r="Y48" s="14"/>
      <c r="Z48" s="7" t="s">
        <v>88</v>
      </c>
    </row>
    <row r="49" customFormat="false" ht="29.85" hidden="false" customHeight="false" outlineLevel="0" collapsed="false">
      <c r="A49" s="13" t="s">
        <v>351</v>
      </c>
      <c r="B49" s="4" t="s">
        <v>323</v>
      </c>
      <c r="C49" s="3" t="s">
        <v>324</v>
      </c>
      <c r="D49" s="3" t="s">
        <v>81</v>
      </c>
      <c r="E49" s="3" t="s">
        <v>352</v>
      </c>
      <c r="F49" s="3" t="s">
        <v>353</v>
      </c>
      <c r="G49" s="3" t="s">
        <v>151</v>
      </c>
      <c r="H49" s="3" t="s">
        <v>85</v>
      </c>
      <c r="I49" s="3" t="s">
        <v>354</v>
      </c>
      <c r="J49" s="3" t="s">
        <v>153</v>
      </c>
      <c r="K49" s="7"/>
      <c r="L49" s="7"/>
      <c r="M49" s="14"/>
      <c r="N49" s="8"/>
      <c r="O49" s="7"/>
      <c r="P49" s="7"/>
      <c r="Q49" s="7"/>
      <c r="R49" s="8"/>
      <c r="S49" s="7"/>
      <c r="T49" s="8"/>
      <c r="U49" s="7"/>
      <c r="V49" s="7"/>
      <c r="W49" s="7"/>
      <c r="X49" s="14"/>
      <c r="Y49" s="14"/>
      <c r="Z49" s="7" t="s">
        <v>88</v>
      </c>
    </row>
    <row r="50" customFormat="false" ht="44" hidden="false" customHeight="false" outlineLevel="0" collapsed="false">
      <c r="A50" s="13" t="s">
        <v>355</v>
      </c>
      <c r="B50" s="4" t="s">
        <v>356</v>
      </c>
      <c r="C50" s="3" t="s">
        <v>357</v>
      </c>
      <c r="D50" s="3" t="s">
        <v>106</v>
      </c>
      <c r="E50" s="3" t="s">
        <v>358</v>
      </c>
      <c r="F50" s="3" t="s">
        <v>359</v>
      </c>
      <c r="G50" s="3" t="s">
        <v>360</v>
      </c>
      <c r="H50" s="3" t="s">
        <v>94</v>
      </c>
      <c r="I50" s="3" t="s">
        <v>361</v>
      </c>
      <c r="J50" s="3" t="s">
        <v>362</v>
      </c>
      <c r="K50" s="7"/>
      <c r="L50" s="7"/>
      <c r="M50" s="14"/>
      <c r="N50" s="8"/>
      <c r="O50" s="7"/>
      <c r="P50" s="7"/>
      <c r="Q50" s="7"/>
      <c r="R50" s="8"/>
      <c r="S50" s="7"/>
      <c r="T50" s="8"/>
      <c r="U50" s="7"/>
      <c r="V50" s="7"/>
      <c r="W50" s="7"/>
      <c r="X50" s="14"/>
      <c r="Y50" s="14"/>
      <c r="Z50" s="7" t="s">
        <v>88</v>
      </c>
    </row>
    <row r="51" customFormat="false" ht="44" hidden="false" customHeight="false" outlineLevel="0" collapsed="false">
      <c r="A51" s="13" t="s">
        <v>363</v>
      </c>
      <c r="B51" s="4" t="s">
        <v>356</v>
      </c>
      <c r="C51" s="3" t="s">
        <v>357</v>
      </c>
      <c r="D51" s="3" t="s">
        <v>106</v>
      </c>
      <c r="E51" s="3" t="s">
        <v>364</v>
      </c>
      <c r="F51" s="3" t="s">
        <v>365</v>
      </c>
      <c r="G51" s="3" t="s">
        <v>366</v>
      </c>
      <c r="H51" s="3" t="s">
        <v>94</v>
      </c>
      <c r="I51" s="3" t="s">
        <v>367</v>
      </c>
      <c r="J51" s="3" t="s">
        <v>187</v>
      </c>
      <c r="K51" s="7"/>
      <c r="L51" s="7"/>
      <c r="M51" s="14"/>
      <c r="N51" s="8"/>
      <c r="O51" s="7"/>
      <c r="P51" s="7"/>
      <c r="Q51" s="7"/>
      <c r="R51" s="8"/>
      <c r="S51" s="7"/>
      <c r="T51" s="8"/>
      <c r="U51" s="7"/>
      <c r="V51" s="7"/>
      <c r="W51" s="7"/>
      <c r="X51" s="14"/>
      <c r="Y51" s="14"/>
      <c r="Z51" s="7" t="s">
        <v>88</v>
      </c>
    </row>
    <row r="52" customFormat="false" ht="44" hidden="false" customHeight="false" outlineLevel="0" collapsed="false">
      <c r="A52" s="13" t="s">
        <v>368</v>
      </c>
      <c r="B52" s="4" t="s">
        <v>356</v>
      </c>
      <c r="C52" s="3" t="s">
        <v>357</v>
      </c>
      <c r="D52" s="3" t="s">
        <v>90</v>
      </c>
      <c r="E52" s="3" t="s">
        <v>369</v>
      </c>
      <c r="F52" s="3" t="s">
        <v>370</v>
      </c>
      <c r="G52" s="3" t="s">
        <v>371</v>
      </c>
      <c r="H52" s="3" t="s">
        <v>85</v>
      </c>
      <c r="I52" s="3" t="s">
        <v>372</v>
      </c>
      <c r="J52" s="3" t="s">
        <v>373</v>
      </c>
      <c r="K52" s="7"/>
      <c r="L52" s="7"/>
      <c r="M52" s="14"/>
      <c r="N52" s="8"/>
      <c r="O52" s="7"/>
      <c r="P52" s="7"/>
      <c r="Q52" s="7"/>
      <c r="R52" s="8"/>
      <c r="S52" s="7"/>
      <c r="T52" s="8"/>
      <c r="U52" s="7"/>
      <c r="V52" s="7"/>
      <c r="W52" s="7"/>
      <c r="X52" s="14"/>
      <c r="Y52" s="14"/>
      <c r="Z52" s="7" t="s">
        <v>88</v>
      </c>
    </row>
    <row r="53" customFormat="false" ht="29.85" hidden="false" customHeight="false" outlineLevel="0" collapsed="false">
      <c r="A53" s="13" t="s">
        <v>374</v>
      </c>
      <c r="B53" s="4" t="s">
        <v>375</v>
      </c>
      <c r="C53" s="3" t="s">
        <v>376</v>
      </c>
      <c r="D53" s="3" t="s">
        <v>106</v>
      </c>
      <c r="E53" s="3" t="s">
        <v>377</v>
      </c>
      <c r="F53" s="3" t="s">
        <v>378</v>
      </c>
      <c r="G53" s="3" t="s">
        <v>379</v>
      </c>
      <c r="H53" s="3" t="s">
        <v>94</v>
      </c>
      <c r="I53" s="3" t="s">
        <v>380</v>
      </c>
      <c r="J53" s="3" t="s">
        <v>381</v>
      </c>
      <c r="K53" s="7"/>
      <c r="L53" s="7"/>
      <c r="M53" s="14"/>
      <c r="N53" s="8"/>
      <c r="O53" s="7"/>
      <c r="P53" s="7"/>
      <c r="Q53" s="7"/>
      <c r="R53" s="8"/>
      <c r="S53" s="7"/>
      <c r="T53" s="8"/>
      <c r="U53" s="7"/>
      <c r="V53" s="7"/>
      <c r="W53" s="7"/>
      <c r="X53" s="14"/>
      <c r="Y53" s="14"/>
      <c r="Z53" s="7" t="s">
        <v>88</v>
      </c>
    </row>
    <row r="54" customFormat="false" ht="29.85" hidden="false" customHeight="false" outlineLevel="0" collapsed="false">
      <c r="A54" s="13" t="s">
        <v>382</v>
      </c>
      <c r="B54" s="4" t="s">
        <v>375</v>
      </c>
      <c r="C54" s="3" t="s">
        <v>376</v>
      </c>
      <c r="D54" s="3" t="s">
        <v>90</v>
      </c>
      <c r="E54" s="3" t="s">
        <v>383</v>
      </c>
      <c r="F54" s="3" t="s">
        <v>384</v>
      </c>
      <c r="G54" s="3" t="s">
        <v>201</v>
      </c>
      <c r="H54" s="3" t="s">
        <v>85</v>
      </c>
      <c r="I54" s="3" t="s">
        <v>385</v>
      </c>
      <c r="J54" s="3" t="s">
        <v>128</v>
      </c>
      <c r="K54" s="7"/>
      <c r="L54" s="7"/>
      <c r="M54" s="14"/>
      <c r="N54" s="8"/>
      <c r="O54" s="7"/>
      <c r="P54" s="7"/>
      <c r="Q54" s="7"/>
      <c r="R54" s="8"/>
      <c r="S54" s="7"/>
      <c r="T54" s="8"/>
      <c r="U54" s="7"/>
      <c r="V54" s="7"/>
      <c r="W54" s="7"/>
      <c r="X54" s="14"/>
      <c r="Y54" s="14"/>
      <c r="Z54" s="7" t="s">
        <v>88</v>
      </c>
    </row>
    <row r="55" customFormat="false" ht="44" hidden="false" customHeight="false" outlineLevel="0" collapsed="false">
      <c r="A55" s="13" t="s">
        <v>386</v>
      </c>
      <c r="B55" s="4" t="s">
        <v>387</v>
      </c>
      <c r="C55" s="3" t="s">
        <v>388</v>
      </c>
      <c r="D55" s="3" t="s">
        <v>81</v>
      </c>
      <c r="E55" s="3" t="s">
        <v>389</v>
      </c>
      <c r="F55" s="3" t="s">
        <v>390</v>
      </c>
      <c r="G55" s="3" t="s">
        <v>201</v>
      </c>
      <c r="H55" s="3" t="s">
        <v>85</v>
      </c>
      <c r="I55" s="3" t="s">
        <v>391</v>
      </c>
      <c r="J55" s="3" t="s">
        <v>392</v>
      </c>
      <c r="K55" s="7"/>
      <c r="L55" s="7"/>
      <c r="M55" s="14"/>
      <c r="N55" s="8"/>
      <c r="O55" s="7"/>
      <c r="P55" s="7"/>
      <c r="Q55" s="7"/>
      <c r="R55" s="8"/>
      <c r="S55" s="7"/>
      <c r="T55" s="8"/>
      <c r="U55" s="7"/>
      <c r="V55" s="7"/>
      <c r="W55" s="7"/>
      <c r="X55" s="14"/>
      <c r="Y55" s="14"/>
      <c r="Z55" s="7" t="s">
        <v>88</v>
      </c>
    </row>
    <row r="56" customFormat="false" ht="44" hidden="false" customHeight="false" outlineLevel="0" collapsed="false">
      <c r="A56" s="13" t="s">
        <v>393</v>
      </c>
      <c r="B56" s="4" t="s">
        <v>387</v>
      </c>
      <c r="C56" s="3" t="s">
        <v>388</v>
      </c>
      <c r="D56" s="3" t="s">
        <v>106</v>
      </c>
      <c r="E56" s="3" t="s">
        <v>394</v>
      </c>
      <c r="F56" s="3" t="s">
        <v>395</v>
      </c>
      <c r="G56" s="3" t="s">
        <v>396</v>
      </c>
      <c r="H56" s="3" t="s">
        <v>85</v>
      </c>
      <c r="I56" s="3" t="s">
        <v>391</v>
      </c>
      <c r="J56" s="3" t="s">
        <v>128</v>
      </c>
      <c r="K56" s="7"/>
      <c r="L56" s="7"/>
      <c r="M56" s="14"/>
      <c r="N56" s="8"/>
      <c r="O56" s="7"/>
      <c r="P56" s="7"/>
      <c r="Q56" s="7"/>
      <c r="R56" s="8"/>
      <c r="S56" s="7"/>
      <c r="T56" s="8"/>
      <c r="U56" s="7"/>
      <c r="V56" s="7"/>
      <c r="W56" s="7"/>
      <c r="X56" s="14"/>
      <c r="Y56" s="14"/>
      <c r="Z56" s="7" t="s">
        <v>88</v>
      </c>
    </row>
    <row r="57" customFormat="false" ht="44" hidden="false" customHeight="false" outlineLevel="0" collapsed="false">
      <c r="A57" s="13" t="s">
        <v>397</v>
      </c>
      <c r="B57" s="4" t="s">
        <v>387</v>
      </c>
      <c r="C57" s="3" t="s">
        <v>388</v>
      </c>
      <c r="D57" s="3" t="s">
        <v>106</v>
      </c>
      <c r="E57" s="3" t="s">
        <v>398</v>
      </c>
      <c r="F57" s="3" t="s">
        <v>399</v>
      </c>
      <c r="G57" s="3" t="s">
        <v>201</v>
      </c>
      <c r="H57" s="3" t="s">
        <v>85</v>
      </c>
      <c r="I57" s="3" t="s">
        <v>400</v>
      </c>
      <c r="J57" s="3" t="s">
        <v>187</v>
      </c>
      <c r="K57" s="7"/>
      <c r="L57" s="7"/>
      <c r="M57" s="14"/>
      <c r="N57" s="8"/>
      <c r="O57" s="7"/>
      <c r="P57" s="7"/>
      <c r="Q57" s="7"/>
      <c r="R57" s="8"/>
      <c r="S57" s="7"/>
      <c r="T57" s="8"/>
      <c r="U57" s="7"/>
      <c r="V57" s="7"/>
      <c r="W57" s="7"/>
      <c r="X57" s="14"/>
      <c r="Y57" s="14"/>
      <c r="Z57" s="7" t="s">
        <v>88</v>
      </c>
    </row>
    <row r="58" customFormat="false" ht="44" hidden="false" customHeight="false" outlineLevel="0" collapsed="false">
      <c r="A58" s="13" t="s">
        <v>401</v>
      </c>
      <c r="B58" s="4" t="s">
        <v>387</v>
      </c>
      <c r="C58" s="3" t="s">
        <v>388</v>
      </c>
      <c r="D58" s="3" t="s">
        <v>106</v>
      </c>
      <c r="E58" s="3" t="s">
        <v>402</v>
      </c>
      <c r="F58" s="3" t="s">
        <v>403</v>
      </c>
      <c r="G58" s="3" t="s">
        <v>302</v>
      </c>
      <c r="H58" s="3" t="s">
        <v>85</v>
      </c>
      <c r="I58" s="3" t="s">
        <v>404</v>
      </c>
      <c r="J58" s="3" t="s">
        <v>187</v>
      </c>
      <c r="K58" s="7"/>
      <c r="L58" s="7"/>
      <c r="M58" s="14"/>
      <c r="N58" s="8"/>
      <c r="O58" s="7"/>
      <c r="P58" s="7"/>
      <c r="Q58" s="7"/>
      <c r="R58" s="8"/>
      <c r="S58" s="7"/>
      <c r="T58" s="8"/>
      <c r="U58" s="7"/>
      <c r="V58" s="7"/>
      <c r="W58" s="7"/>
      <c r="X58" s="14"/>
      <c r="Y58" s="14"/>
      <c r="Z58" s="7" t="s">
        <v>88</v>
      </c>
    </row>
    <row r="59" customFormat="false" ht="29.85" hidden="false" customHeight="false" outlineLevel="0" collapsed="false">
      <c r="A59" s="13" t="s">
        <v>405</v>
      </c>
      <c r="B59" s="4" t="s">
        <v>406</v>
      </c>
      <c r="C59" s="3" t="s">
        <v>407</v>
      </c>
      <c r="D59" s="3" t="s">
        <v>90</v>
      </c>
      <c r="E59" s="3" t="s">
        <v>408</v>
      </c>
      <c r="F59" s="3" t="s">
        <v>409</v>
      </c>
      <c r="G59" s="3" t="s">
        <v>134</v>
      </c>
      <c r="H59" s="3" t="s">
        <v>85</v>
      </c>
      <c r="I59" s="3" t="s">
        <v>410</v>
      </c>
      <c r="J59" s="3" t="s">
        <v>128</v>
      </c>
      <c r="K59" s="7"/>
      <c r="L59" s="7"/>
      <c r="M59" s="14"/>
      <c r="N59" s="8"/>
      <c r="O59" s="7"/>
      <c r="P59" s="7"/>
      <c r="Q59" s="7"/>
      <c r="R59" s="8"/>
      <c r="S59" s="7"/>
      <c r="T59" s="8"/>
      <c r="U59" s="7"/>
      <c r="V59" s="7"/>
      <c r="W59" s="7"/>
      <c r="X59" s="14"/>
      <c r="Y59" s="14"/>
      <c r="Z59" s="7" t="s">
        <v>88</v>
      </c>
    </row>
    <row r="60" customFormat="false" ht="44" hidden="false" customHeight="false" outlineLevel="0" collapsed="false">
      <c r="A60" s="13" t="s">
        <v>411</v>
      </c>
      <c r="B60" s="4" t="s">
        <v>406</v>
      </c>
      <c r="C60" s="3" t="s">
        <v>407</v>
      </c>
      <c r="D60" s="3" t="s">
        <v>90</v>
      </c>
      <c r="E60" s="3" t="s">
        <v>412</v>
      </c>
      <c r="F60" s="3" t="s">
        <v>413</v>
      </c>
      <c r="G60" s="3" t="s">
        <v>134</v>
      </c>
      <c r="H60" s="3" t="s">
        <v>85</v>
      </c>
      <c r="I60" s="3" t="s">
        <v>414</v>
      </c>
      <c r="J60" s="3" t="s">
        <v>128</v>
      </c>
      <c r="K60" s="7"/>
      <c r="L60" s="7"/>
      <c r="M60" s="14"/>
      <c r="N60" s="8"/>
      <c r="O60" s="7"/>
      <c r="P60" s="7"/>
      <c r="Q60" s="7"/>
      <c r="R60" s="8"/>
      <c r="S60" s="7"/>
      <c r="T60" s="8"/>
      <c r="U60" s="7"/>
      <c r="V60" s="7"/>
      <c r="W60" s="7"/>
      <c r="X60" s="14"/>
      <c r="Y60" s="14"/>
      <c r="Z60" s="7" t="s">
        <v>88</v>
      </c>
    </row>
    <row r="61" customFormat="false" ht="58.2" hidden="false" customHeight="false" outlineLevel="0" collapsed="false">
      <c r="A61" s="13" t="s">
        <v>415</v>
      </c>
      <c r="B61" s="4" t="s">
        <v>416</v>
      </c>
      <c r="C61" s="3" t="s">
        <v>417</v>
      </c>
      <c r="D61" s="3" t="s">
        <v>81</v>
      </c>
      <c r="E61" s="4" t="s">
        <v>418</v>
      </c>
      <c r="F61" s="3" t="s">
        <v>419</v>
      </c>
      <c r="G61" s="4" t="s">
        <v>420</v>
      </c>
      <c r="H61" s="4" t="s">
        <v>207</v>
      </c>
      <c r="I61" s="3" t="s">
        <v>421</v>
      </c>
      <c r="J61" s="3" t="s">
        <v>422</v>
      </c>
      <c r="K61" s="7"/>
      <c r="L61" s="7"/>
      <c r="M61" s="14"/>
      <c r="N61" s="8"/>
      <c r="O61" s="7"/>
      <c r="P61" s="7"/>
      <c r="Q61" s="7"/>
      <c r="R61" s="8"/>
      <c r="S61" s="7"/>
      <c r="T61" s="8"/>
      <c r="U61" s="7"/>
      <c r="V61" s="7"/>
      <c r="W61" s="7"/>
      <c r="X61" s="14"/>
      <c r="Y61" s="14"/>
      <c r="Z61" s="7" t="s">
        <v>88</v>
      </c>
    </row>
    <row r="62" customFormat="false" ht="29.85" hidden="false" customHeight="false" outlineLevel="0" collapsed="false">
      <c r="A62" s="13" t="s">
        <v>423</v>
      </c>
      <c r="B62" s="4" t="s">
        <v>416</v>
      </c>
      <c r="C62" s="3" t="s">
        <v>417</v>
      </c>
      <c r="D62" s="3" t="s">
        <v>90</v>
      </c>
      <c r="E62" s="3" t="s">
        <v>424</v>
      </c>
      <c r="F62" s="4" t="s">
        <v>425</v>
      </c>
      <c r="G62" s="3" t="s">
        <v>426</v>
      </c>
      <c r="H62" s="3" t="s">
        <v>85</v>
      </c>
      <c r="I62" s="3" t="s">
        <v>427</v>
      </c>
      <c r="J62" s="3" t="s">
        <v>428</v>
      </c>
      <c r="K62" s="7"/>
      <c r="L62" s="7"/>
      <c r="M62" s="14"/>
      <c r="N62" s="8"/>
      <c r="O62" s="7"/>
      <c r="P62" s="7"/>
      <c r="Q62" s="7"/>
      <c r="R62" s="8"/>
      <c r="S62" s="7"/>
      <c r="T62" s="8"/>
      <c r="U62" s="7"/>
      <c r="V62" s="7"/>
      <c r="W62" s="7"/>
      <c r="X62" s="14"/>
      <c r="Y62" s="14"/>
      <c r="Z62" s="7" t="s">
        <v>88</v>
      </c>
    </row>
    <row r="63" customFormat="false" ht="29.85" hidden="false" customHeight="false" outlineLevel="0" collapsed="false">
      <c r="A63" s="13" t="s">
        <v>429</v>
      </c>
      <c r="B63" s="4" t="s">
        <v>430</v>
      </c>
      <c r="C63" s="3" t="s">
        <v>431</v>
      </c>
      <c r="D63" s="3" t="s">
        <v>90</v>
      </c>
      <c r="E63" s="3" t="s">
        <v>432</v>
      </c>
      <c r="F63" s="3" t="s">
        <v>433</v>
      </c>
      <c r="G63" s="3" t="s">
        <v>434</v>
      </c>
      <c r="H63" s="3" t="s">
        <v>85</v>
      </c>
      <c r="I63" s="3" t="s">
        <v>435</v>
      </c>
      <c r="J63" s="3" t="s">
        <v>128</v>
      </c>
      <c r="K63" s="7"/>
      <c r="L63" s="7"/>
      <c r="M63" s="14"/>
      <c r="N63" s="8"/>
      <c r="O63" s="7"/>
      <c r="P63" s="7"/>
      <c r="Q63" s="7"/>
      <c r="R63" s="8"/>
      <c r="S63" s="7"/>
      <c r="T63" s="8"/>
      <c r="U63" s="7"/>
      <c r="V63" s="7"/>
      <c r="W63" s="7"/>
      <c r="X63" s="14"/>
      <c r="Y63" s="14"/>
      <c r="Z63" s="7" t="s">
        <v>88</v>
      </c>
    </row>
    <row r="64" customFormat="false" ht="29.85" hidden="false" customHeight="false" outlineLevel="0" collapsed="false">
      <c r="A64" s="13" t="s">
        <v>436</v>
      </c>
      <c r="B64" s="4" t="s">
        <v>430</v>
      </c>
      <c r="C64" s="3" t="s">
        <v>431</v>
      </c>
      <c r="D64" s="3" t="s">
        <v>106</v>
      </c>
      <c r="E64" s="3" t="s">
        <v>437</v>
      </c>
      <c r="F64" s="3" t="s">
        <v>438</v>
      </c>
      <c r="G64" s="3" t="s">
        <v>439</v>
      </c>
      <c r="H64" s="3" t="s">
        <v>85</v>
      </c>
      <c r="I64" s="3" t="s">
        <v>440</v>
      </c>
      <c r="J64" s="3" t="s">
        <v>187</v>
      </c>
      <c r="K64" s="7"/>
      <c r="L64" s="7"/>
      <c r="M64" s="14"/>
      <c r="N64" s="8"/>
      <c r="O64" s="7"/>
      <c r="P64" s="7"/>
      <c r="Q64" s="7"/>
      <c r="R64" s="8"/>
      <c r="S64" s="7"/>
      <c r="T64" s="8"/>
      <c r="U64" s="7"/>
      <c r="V64" s="7"/>
      <c r="W64" s="7"/>
      <c r="X64" s="14"/>
      <c r="Y64" s="14"/>
      <c r="Z64" s="7" t="s">
        <v>88</v>
      </c>
    </row>
    <row r="65" customFormat="false" ht="44" hidden="false" customHeight="false" outlineLevel="0" collapsed="false">
      <c r="A65" s="13" t="s">
        <v>441</v>
      </c>
      <c r="B65" s="4" t="s">
        <v>430</v>
      </c>
      <c r="C65" s="3" t="s">
        <v>431</v>
      </c>
      <c r="D65" s="3" t="s">
        <v>106</v>
      </c>
      <c r="E65" s="3" t="s">
        <v>442</v>
      </c>
      <c r="F65" s="3" t="s">
        <v>443</v>
      </c>
      <c r="G65" s="3" t="s">
        <v>444</v>
      </c>
      <c r="H65" s="3" t="s">
        <v>85</v>
      </c>
      <c r="I65" s="3" t="s">
        <v>445</v>
      </c>
      <c r="J65" s="3" t="s">
        <v>187</v>
      </c>
      <c r="K65" s="7"/>
      <c r="L65" s="7"/>
      <c r="M65" s="14"/>
      <c r="N65" s="8"/>
      <c r="O65" s="7"/>
      <c r="P65" s="7"/>
      <c r="Q65" s="7"/>
      <c r="R65" s="8"/>
      <c r="S65" s="7"/>
      <c r="T65" s="8"/>
      <c r="U65" s="7"/>
      <c r="V65" s="7"/>
      <c r="W65" s="7"/>
      <c r="X65" s="14"/>
      <c r="Y65" s="14"/>
      <c r="Z65" s="7" t="s">
        <v>88</v>
      </c>
    </row>
    <row r="66" customFormat="false" ht="29.85" hidden="false" customHeight="false" outlineLevel="0" collapsed="false">
      <c r="A66" s="13" t="s">
        <v>446</v>
      </c>
      <c r="B66" s="4" t="s">
        <v>447</v>
      </c>
      <c r="C66" s="3" t="s">
        <v>448</v>
      </c>
      <c r="D66" s="3" t="s">
        <v>90</v>
      </c>
      <c r="E66" s="3" t="s">
        <v>449</v>
      </c>
      <c r="F66" s="3" t="s">
        <v>450</v>
      </c>
      <c r="G66" s="3" t="s">
        <v>201</v>
      </c>
      <c r="H66" s="3" t="s">
        <v>85</v>
      </c>
      <c r="I66" s="3" t="s">
        <v>451</v>
      </c>
      <c r="J66" s="3" t="s">
        <v>452</v>
      </c>
      <c r="K66" s="7"/>
      <c r="L66" s="7"/>
      <c r="M66" s="14"/>
      <c r="N66" s="8"/>
      <c r="O66" s="7"/>
      <c r="P66" s="7"/>
      <c r="Q66" s="7"/>
      <c r="R66" s="8"/>
      <c r="S66" s="7"/>
      <c r="T66" s="8"/>
      <c r="U66" s="7"/>
      <c r="V66" s="7"/>
      <c r="W66" s="7"/>
      <c r="X66" s="14"/>
      <c r="Y66" s="14"/>
      <c r="Z66" s="7" t="s">
        <v>88</v>
      </c>
    </row>
    <row r="67" customFormat="false" ht="44" hidden="false" customHeight="false" outlineLevel="0" collapsed="false">
      <c r="A67" s="13" t="s">
        <v>453</v>
      </c>
      <c r="B67" s="4" t="s">
        <v>454</v>
      </c>
      <c r="C67" s="3" t="s">
        <v>455</v>
      </c>
      <c r="D67" s="3" t="s">
        <v>90</v>
      </c>
      <c r="E67" s="3" t="s">
        <v>456</v>
      </c>
      <c r="F67" s="3" t="s">
        <v>457</v>
      </c>
      <c r="G67" s="3" t="s">
        <v>224</v>
      </c>
      <c r="H67" s="4" t="s">
        <v>207</v>
      </c>
      <c r="I67" s="3" t="s">
        <v>458</v>
      </c>
      <c r="J67" s="3" t="s">
        <v>459</v>
      </c>
      <c r="K67" s="7"/>
      <c r="L67" s="7"/>
      <c r="M67" s="14"/>
      <c r="N67" s="8"/>
      <c r="O67" s="7"/>
      <c r="P67" s="7"/>
      <c r="Q67" s="7"/>
      <c r="R67" s="8"/>
      <c r="S67" s="7"/>
      <c r="T67" s="8"/>
      <c r="U67" s="7"/>
      <c r="V67" s="7"/>
      <c r="W67" s="7"/>
      <c r="X67" s="14"/>
      <c r="Y67" s="14"/>
      <c r="Z67" s="7" t="s">
        <v>88</v>
      </c>
    </row>
    <row r="68" customFormat="false" ht="44" hidden="false" customHeight="false" outlineLevel="0" collapsed="false">
      <c r="A68" s="13" t="s">
        <v>460</v>
      </c>
      <c r="B68" s="4" t="s">
        <v>454</v>
      </c>
      <c r="C68" s="3" t="s">
        <v>455</v>
      </c>
      <c r="D68" s="3" t="s">
        <v>90</v>
      </c>
      <c r="E68" s="4" t="s">
        <v>461</v>
      </c>
      <c r="F68" s="3" t="s">
        <v>462</v>
      </c>
      <c r="G68" s="3" t="s">
        <v>134</v>
      </c>
      <c r="H68" s="3" t="s">
        <v>85</v>
      </c>
      <c r="I68" s="3" t="s">
        <v>463</v>
      </c>
      <c r="J68" s="3" t="s">
        <v>464</v>
      </c>
      <c r="K68" s="7"/>
      <c r="L68" s="7"/>
      <c r="M68" s="14"/>
      <c r="N68" s="8"/>
      <c r="O68" s="7"/>
      <c r="P68" s="7"/>
      <c r="Q68" s="7"/>
      <c r="R68" s="8"/>
      <c r="S68" s="7"/>
      <c r="T68" s="8"/>
      <c r="U68" s="7"/>
      <c r="V68" s="7"/>
      <c r="W68" s="7"/>
      <c r="X68" s="14"/>
      <c r="Y68" s="14"/>
      <c r="Z68" s="7" t="s">
        <v>88</v>
      </c>
    </row>
    <row r="69" customFormat="false" ht="44" hidden="false" customHeight="false" outlineLevel="0" collapsed="false">
      <c r="A69" s="13" t="s">
        <v>465</v>
      </c>
      <c r="B69" s="4" t="s">
        <v>466</v>
      </c>
      <c r="C69" s="3" t="s">
        <v>467</v>
      </c>
      <c r="D69" s="3" t="s">
        <v>106</v>
      </c>
      <c r="E69" s="3" t="s">
        <v>468</v>
      </c>
      <c r="F69" s="3" t="s">
        <v>469</v>
      </c>
      <c r="G69" s="3" t="s">
        <v>470</v>
      </c>
      <c r="H69" s="3" t="s">
        <v>94</v>
      </c>
      <c r="I69" s="3" t="s">
        <v>471</v>
      </c>
      <c r="J69" s="3" t="s">
        <v>472</v>
      </c>
      <c r="K69" s="7"/>
      <c r="L69" s="7"/>
      <c r="M69" s="14"/>
      <c r="N69" s="8"/>
      <c r="O69" s="7"/>
      <c r="P69" s="7"/>
      <c r="Q69" s="7"/>
      <c r="R69" s="8"/>
      <c r="S69" s="7"/>
      <c r="T69" s="8"/>
      <c r="U69" s="7"/>
      <c r="V69" s="7"/>
      <c r="W69" s="7"/>
      <c r="X69" s="14"/>
      <c r="Y69" s="14"/>
      <c r="Z69" s="7" t="s">
        <v>88</v>
      </c>
    </row>
    <row r="70" customFormat="false" ht="29.85" hidden="false" customHeight="false" outlineLevel="0" collapsed="false">
      <c r="A70" s="13" t="s">
        <v>473</v>
      </c>
      <c r="B70" s="4" t="s">
        <v>466</v>
      </c>
      <c r="C70" s="3" t="s">
        <v>467</v>
      </c>
      <c r="D70" s="3" t="s">
        <v>90</v>
      </c>
      <c r="E70" s="3" t="s">
        <v>474</v>
      </c>
      <c r="F70" s="3" t="s">
        <v>475</v>
      </c>
      <c r="G70" s="3" t="s">
        <v>476</v>
      </c>
      <c r="H70" s="3" t="s">
        <v>85</v>
      </c>
      <c r="I70" s="4" t="s">
        <v>477</v>
      </c>
      <c r="J70" s="3" t="s">
        <v>128</v>
      </c>
      <c r="K70" s="7"/>
      <c r="L70" s="7"/>
      <c r="M70" s="14"/>
      <c r="N70" s="8"/>
      <c r="O70" s="7"/>
      <c r="P70" s="7"/>
      <c r="Q70" s="7"/>
      <c r="R70" s="8"/>
      <c r="S70" s="7"/>
      <c r="T70" s="8"/>
      <c r="U70" s="7"/>
      <c r="V70" s="7"/>
      <c r="W70" s="7"/>
      <c r="X70" s="14"/>
      <c r="Y70" s="14"/>
      <c r="Z70" s="7" t="s">
        <v>88</v>
      </c>
    </row>
    <row r="71" customFormat="false" ht="29.85" hidden="false" customHeight="false" outlineLevel="0" collapsed="false">
      <c r="A71" s="13" t="s">
        <v>478</v>
      </c>
      <c r="B71" s="4" t="s">
        <v>466</v>
      </c>
      <c r="C71" s="3" t="s">
        <v>467</v>
      </c>
      <c r="D71" s="3" t="s">
        <v>90</v>
      </c>
      <c r="E71" s="3" t="s">
        <v>479</v>
      </c>
      <c r="F71" s="3" t="s">
        <v>480</v>
      </c>
      <c r="G71" s="3" t="s">
        <v>201</v>
      </c>
      <c r="H71" s="3" t="s">
        <v>85</v>
      </c>
      <c r="I71" s="3" t="s">
        <v>481</v>
      </c>
      <c r="J71" s="3" t="s">
        <v>128</v>
      </c>
      <c r="K71" s="7"/>
      <c r="L71" s="7"/>
      <c r="M71" s="14"/>
      <c r="N71" s="8"/>
      <c r="O71" s="7"/>
      <c r="P71" s="7"/>
      <c r="Q71" s="7"/>
      <c r="R71" s="8"/>
      <c r="S71" s="7"/>
      <c r="T71" s="8"/>
      <c r="U71" s="7"/>
      <c r="V71" s="7"/>
      <c r="W71" s="7"/>
      <c r="X71" s="14"/>
      <c r="Y71" s="14"/>
      <c r="Z71" s="7" t="s">
        <v>88</v>
      </c>
    </row>
    <row r="72" customFormat="false" ht="29.85" hidden="false" customHeight="false" outlineLevel="0" collapsed="false">
      <c r="A72" s="13" t="s">
        <v>482</v>
      </c>
      <c r="B72" s="4" t="s">
        <v>483</v>
      </c>
      <c r="C72" s="3" t="s">
        <v>484</v>
      </c>
      <c r="D72" s="3" t="s">
        <v>485</v>
      </c>
      <c r="E72" s="3" t="s">
        <v>486</v>
      </c>
      <c r="F72" s="4" t="s">
        <v>487</v>
      </c>
      <c r="G72" s="3" t="s">
        <v>224</v>
      </c>
      <c r="H72" s="3" t="s">
        <v>94</v>
      </c>
      <c r="I72" s="3" t="s">
        <v>488</v>
      </c>
      <c r="J72" s="3" t="s">
        <v>489</v>
      </c>
      <c r="K72" s="7"/>
      <c r="L72" s="7"/>
      <c r="M72" s="14"/>
      <c r="N72" s="8"/>
      <c r="O72" s="7"/>
      <c r="P72" s="7"/>
      <c r="Q72" s="7"/>
      <c r="R72" s="8"/>
      <c r="S72" s="7"/>
      <c r="T72" s="8"/>
      <c r="U72" s="7"/>
      <c r="V72" s="7"/>
      <c r="W72" s="7"/>
      <c r="X72" s="14"/>
      <c r="Y72" s="14"/>
      <c r="Z72" s="7" t="s">
        <v>88</v>
      </c>
    </row>
    <row r="73" customFormat="false" ht="29.85" hidden="false" customHeight="false" outlineLevel="0" collapsed="false">
      <c r="A73" s="13" t="s">
        <v>490</v>
      </c>
      <c r="B73" s="4" t="s">
        <v>491</v>
      </c>
      <c r="C73" s="3" t="s">
        <v>492</v>
      </c>
      <c r="D73" s="3" t="s">
        <v>485</v>
      </c>
      <c r="E73" s="3" t="s">
        <v>493</v>
      </c>
      <c r="F73" s="3" t="s">
        <v>494</v>
      </c>
      <c r="G73" s="3" t="s">
        <v>495</v>
      </c>
      <c r="H73" s="3" t="s">
        <v>85</v>
      </c>
      <c r="I73" s="3" t="s">
        <v>496</v>
      </c>
      <c r="J73" s="3" t="s">
        <v>128</v>
      </c>
      <c r="K73" s="7"/>
      <c r="L73" s="7"/>
      <c r="M73" s="14"/>
      <c r="N73" s="8"/>
      <c r="O73" s="7"/>
      <c r="P73" s="7"/>
      <c r="Q73" s="7"/>
      <c r="R73" s="8"/>
      <c r="S73" s="7"/>
      <c r="T73" s="8"/>
      <c r="U73" s="7"/>
      <c r="V73" s="7"/>
      <c r="W73" s="7"/>
      <c r="X73" s="14"/>
      <c r="Y73" s="14"/>
      <c r="Z73" s="7" t="s">
        <v>88</v>
      </c>
    </row>
    <row r="74" customFormat="false" ht="29.85" hidden="false" customHeight="false" outlineLevel="0" collapsed="false">
      <c r="A74" s="13" t="s">
        <v>497</v>
      </c>
      <c r="B74" s="4" t="s">
        <v>498</v>
      </c>
      <c r="C74" s="3" t="s">
        <v>499</v>
      </c>
      <c r="D74" s="3" t="s">
        <v>485</v>
      </c>
      <c r="E74" s="3" t="s">
        <v>500</v>
      </c>
      <c r="F74" s="3" t="s">
        <v>501</v>
      </c>
      <c r="G74" s="3" t="s">
        <v>502</v>
      </c>
      <c r="H74" s="3" t="s">
        <v>85</v>
      </c>
      <c r="I74" s="3" t="s">
        <v>503</v>
      </c>
      <c r="J74" s="3" t="s">
        <v>504</v>
      </c>
      <c r="K74" s="7"/>
      <c r="L74" s="7"/>
      <c r="M74" s="14"/>
      <c r="N74" s="8"/>
      <c r="O74" s="7"/>
      <c r="P74" s="7"/>
      <c r="Q74" s="7"/>
      <c r="R74" s="8"/>
      <c r="S74" s="7"/>
      <c r="T74" s="8"/>
      <c r="U74" s="7"/>
      <c r="V74" s="7"/>
      <c r="W74" s="7"/>
      <c r="X74" s="14"/>
      <c r="Y74" s="14"/>
      <c r="Z74" s="7" t="s">
        <v>88</v>
      </c>
    </row>
    <row r="75" customFormat="false" ht="44" hidden="false" customHeight="false" outlineLevel="0" collapsed="false">
      <c r="A75" s="13" t="s">
        <v>505</v>
      </c>
      <c r="B75" s="4" t="s">
        <v>506</v>
      </c>
      <c r="C75" s="3" t="s">
        <v>507</v>
      </c>
      <c r="D75" s="3" t="s">
        <v>485</v>
      </c>
      <c r="E75" s="3" t="s">
        <v>508</v>
      </c>
      <c r="F75" s="3" t="s">
        <v>509</v>
      </c>
      <c r="G75" s="4" t="s">
        <v>510</v>
      </c>
      <c r="H75" s="4" t="s">
        <v>207</v>
      </c>
      <c r="I75" s="3" t="s">
        <v>511</v>
      </c>
      <c r="J75" s="3" t="s">
        <v>128</v>
      </c>
      <c r="K75" s="7"/>
      <c r="L75" s="7"/>
      <c r="M75" s="14"/>
      <c r="N75" s="8"/>
      <c r="O75" s="7"/>
      <c r="P75" s="7"/>
      <c r="Q75" s="7"/>
      <c r="R75" s="8"/>
      <c r="S75" s="7"/>
      <c r="T75" s="8"/>
      <c r="U75" s="7"/>
      <c r="V75" s="7"/>
      <c r="W75" s="7"/>
      <c r="X75" s="14"/>
      <c r="Y75" s="14"/>
      <c r="Z75" s="7" t="s">
        <v>88</v>
      </c>
    </row>
    <row r="76" customFormat="false" ht="29.85" hidden="false" customHeight="false" outlineLevel="0" collapsed="false">
      <c r="A76" s="13" t="s">
        <v>512</v>
      </c>
      <c r="B76" s="4" t="s">
        <v>506</v>
      </c>
      <c r="C76" s="3" t="s">
        <v>507</v>
      </c>
      <c r="D76" s="3" t="s">
        <v>485</v>
      </c>
      <c r="E76" s="4" t="s">
        <v>513</v>
      </c>
      <c r="F76" s="4" t="s">
        <v>514</v>
      </c>
      <c r="G76" s="4" t="s">
        <v>515</v>
      </c>
      <c r="H76" s="4" t="s">
        <v>207</v>
      </c>
      <c r="I76" s="3" t="s">
        <v>516</v>
      </c>
      <c r="J76" s="3" t="s">
        <v>187</v>
      </c>
      <c r="K76" s="7"/>
      <c r="L76" s="7"/>
      <c r="M76" s="14"/>
      <c r="N76" s="8"/>
      <c r="O76" s="7"/>
      <c r="P76" s="7"/>
      <c r="Q76" s="7"/>
      <c r="R76" s="8"/>
      <c r="S76" s="7"/>
      <c r="T76" s="8"/>
      <c r="U76" s="7"/>
      <c r="V76" s="7"/>
      <c r="W76" s="7"/>
      <c r="X76" s="14"/>
      <c r="Y76" s="14"/>
      <c r="Z76" s="7" t="s">
        <v>88</v>
      </c>
    </row>
    <row r="77" customFormat="false" ht="29.85" hidden="false" customHeight="false" outlineLevel="0" collapsed="false">
      <c r="A77" s="13" t="s">
        <v>517</v>
      </c>
      <c r="B77" s="4" t="s">
        <v>518</v>
      </c>
      <c r="C77" s="3" t="s">
        <v>519</v>
      </c>
      <c r="D77" s="3" t="s">
        <v>485</v>
      </c>
      <c r="E77" s="4" t="s">
        <v>520</v>
      </c>
      <c r="F77" s="3" t="s">
        <v>521</v>
      </c>
      <c r="G77" s="3" t="s">
        <v>224</v>
      </c>
      <c r="H77" s="3" t="s">
        <v>94</v>
      </c>
      <c r="I77" s="3" t="s">
        <v>522</v>
      </c>
      <c r="J77" s="3" t="s">
        <v>128</v>
      </c>
      <c r="K77" s="7"/>
      <c r="L77" s="7"/>
      <c r="M77" s="14"/>
      <c r="N77" s="8"/>
      <c r="O77" s="7"/>
      <c r="P77" s="7"/>
      <c r="Q77" s="7"/>
      <c r="R77" s="8"/>
      <c r="S77" s="7"/>
      <c r="T77" s="8"/>
      <c r="U77" s="7"/>
      <c r="V77" s="7"/>
      <c r="W77" s="7"/>
      <c r="X77" s="14"/>
      <c r="Y77" s="14"/>
      <c r="Z77" s="7" t="s">
        <v>88</v>
      </c>
    </row>
    <row r="78" customFormat="false" ht="29.85" hidden="false" customHeight="false" outlineLevel="0" collapsed="false">
      <c r="A78" s="13" t="s">
        <v>523</v>
      </c>
      <c r="B78" s="4" t="s">
        <v>524</v>
      </c>
      <c r="C78" s="3" t="s">
        <v>525</v>
      </c>
      <c r="D78" s="3" t="s">
        <v>485</v>
      </c>
      <c r="E78" s="3" t="s">
        <v>526</v>
      </c>
      <c r="F78" s="3" t="s">
        <v>527</v>
      </c>
      <c r="G78" s="4" t="s">
        <v>515</v>
      </c>
      <c r="H78" s="4" t="s">
        <v>207</v>
      </c>
      <c r="I78" s="3" t="s">
        <v>528</v>
      </c>
      <c r="J78" s="3" t="s">
        <v>529</v>
      </c>
      <c r="K78" s="7"/>
      <c r="L78" s="7"/>
      <c r="M78" s="14"/>
      <c r="N78" s="8"/>
      <c r="O78" s="7"/>
      <c r="P78" s="7"/>
      <c r="Q78" s="7"/>
      <c r="R78" s="8"/>
      <c r="S78" s="7"/>
      <c r="T78" s="8"/>
      <c r="U78" s="7"/>
      <c r="V78" s="7"/>
      <c r="W78" s="7"/>
      <c r="X78" s="14"/>
      <c r="Y78" s="14"/>
      <c r="Z78" s="7" t="s">
        <v>88</v>
      </c>
    </row>
  </sheetData>
  <autoFilter ref="A1:Z78"/>
  <dataValidations count="4">
    <dataValidation allowBlank="true" errorStyle="stop" operator="between" showDropDown="false" showErrorMessage="false" showInputMessage="false" sqref="N2:N78" type="list">
      <formula1>選択肢!$A$2:$A$5</formula1>
      <formula2>0</formula2>
    </dataValidation>
    <dataValidation allowBlank="true" errorStyle="stop" operator="between" showDropDown="false" showErrorMessage="false" showInputMessage="false" sqref="R2:R78" type="list">
      <formula1>選択肢!$B$2:$B$5</formula1>
      <formula2>0</formula2>
    </dataValidation>
    <dataValidation allowBlank="true" errorStyle="stop" operator="between" showDropDown="false" showErrorMessage="false" showInputMessage="false" sqref="T2:T78" type="list">
      <formula1>選択肢!$C$2:$C$4</formula1>
      <formula2>0</formula2>
    </dataValidation>
    <dataValidation allowBlank="true" errorStyle="stop" operator="between" showDropDown="false" showErrorMessage="false" showInputMessage="false" sqref="Z2:Z78" type="list">
      <formula1>選択肢!$D$2:$D$5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4" min="3" style="0" width="8"/>
    <col collapsed="false" customWidth="true" hidden="false" outlineLevel="0" max="5" min="5" style="0" width="11"/>
    <col collapsed="false" customWidth="true" hidden="false" outlineLevel="0" max="8" min="6" style="0" width="8"/>
    <col collapsed="false" customWidth="true" hidden="false" outlineLevel="0" max="9" min="9" style="0" width="14"/>
    <col collapsed="false" customWidth="true" hidden="false" outlineLevel="0" max="10" min="10" style="0" width="9"/>
    <col collapsed="false" customWidth="true" hidden="false" outlineLevel="0" max="11" min="11" style="0" width="8"/>
  </cols>
  <sheetData>
    <row r="1" customFormat="false" ht="15" hidden="false" customHeight="false" outlineLevel="0" collapsed="false">
      <c r="A1" s="5" t="s">
        <v>530</v>
      </c>
    </row>
    <row r="3" customFormat="false" ht="44" hidden="false" customHeight="false" outlineLevel="0" collapsed="false">
      <c r="A3" s="9" t="s">
        <v>65</v>
      </c>
      <c r="B3" s="9" t="s">
        <v>66</v>
      </c>
      <c r="C3" s="9" t="s">
        <v>531</v>
      </c>
      <c r="D3" s="9" t="s">
        <v>532</v>
      </c>
      <c r="E3" s="9" t="s">
        <v>533</v>
      </c>
      <c r="F3" s="10" t="s">
        <v>42</v>
      </c>
      <c r="G3" s="9" t="s">
        <v>534</v>
      </c>
      <c r="H3" s="9" t="s">
        <v>535</v>
      </c>
      <c r="I3" s="9" t="s">
        <v>536</v>
      </c>
      <c r="J3" s="9" t="s">
        <v>63</v>
      </c>
      <c r="K3" s="9" t="s">
        <v>537</v>
      </c>
    </row>
    <row r="4" customFormat="false" ht="15" hidden="false" customHeight="false" outlineLevel="0" collapsed="false">
      <c r="A4" s="13" t="s">
        <v>79</v>
      </c>
      <c r="B4" s="3" t="s">
        <v>80</v>
      </c>
      <c r="C4" s="15" t="n">
        <f aca="false">COUNTIF(ヒアリング!$B$2:$B$78,A4)</f>
        <v>3</v>
      </c>
      <c r="D4" s="15" t="n">
        <f aca="false">COUNTIFS(ヒアリング!$B$2:$B$78,$A4,ヒアリング!$N$2:$N$78,"適合")</f>
        <v>0</v>
      </c>
      <c r="E4" s="15" t="n">
        <f aca="false">COUNTIFS(ヒアリング!$B$2:$B$78,$A4,ヒアリング!$N$2:$N$78,"条件付き適合")</f>
        <v>0</v>
      </c>
      <c r="F4" s="15" t="n">
        <f aca="false">COUNTIFS(ヒアリング!$B$2:$B$78,$A4,ヒアリング!$N$2:$N$78,"GAP")</f>
        <v>0</v>
      </c>
      <c r="G4" s="15" t="n">
        <f aca="false">COUNTIFS(ヒアリング!$B$2:$B$78,$A4,ヒアリング!$N$2:$N$78,"対象外")</f>
        <v>0</v>
      </c>
      <c r="H4" s="15" t="n">
        <f aca="false">C4-SUM(D4:G4)</f>
        <v>3</v>
      </c>
      <c r="I4" s="15" t="n">
        <f aca="false">COUNTIFS(ヒアリング!$B$2:$B$78,$A4,ヒアリング!$N$2:$N$78,"GAP",ヒアリング!$R$2:$R$78,"ロジック改修")</f>
        <v>0</v>
      </c>
      <c r="J4" s="15" t="n">
        <f aca="false">COUNTIFS(ヒアリング!$B$2:$B$78,$A4,ヒアリング!$Z$2:$Z$78,"決定済み")</f>
        <v>0</v>
      </c>
      <c r="K4" s="15" t="n">
        <f aca="false">C4-J4</f>
        <v>3</v>
      </c>
    </row>
    <row r="5" customFormat="false" ht="15" hidden="false" customHeight="false" outlineLevel="0" collapsed="false">
      <c r="A5" s="13" t="s">
        <v>104</v>
      </c>
      <c r="B5" s="3" t="s">
        <v>105</v>
      </c>
      <c r="C5" s="15" t="n">
        <f aca="false">COUNTIF(ヒアリング!$B$2:$B$78,A5)</f>
        <v>4</v>
      </c>
      <c r="D5" s="15" t="n">
        <f aca="false">COUNTIFS(ヒアリング!$B$2:$B$78,$A5,ヒアリング!$N$2:$N$78,"適合")</f>
        <v>0</v>
      </c>
      <c r="E5" s="15" t="n">
        <f aca="false">COUNTIFS(ヒアリング!$B$2:$B$78,$A5,ヒアリング!$N$2:$N$78,"条件付き適合")</f>
        <v>0</v>
      </c>
      <c r="F5" s="15" t="n">
        <f aca="false">COUNTIFS(ヒアリング!$B$2:$B$78,$A5,ヒアリング!$N$2:$N$78,"GAP")</f>
        <v>0</v>
      </c>
      <c r="G5" s="15" t="n">
        <f aca="false">COUNTIFS(ヒアリング!$B$2:$B$78,$A5,ヒアリング!$N$2:$N$78,"対象外")</f>
        <v>0</v>
      </c>
      <c r="H5" s="15" t="n">
        <f aca="false">C5-SUM(D5:G5)</f>
        <v>4</v>
      </c>
      <c r="I5" s="15" t="n">
        <f aca="false">COUNTIFS(ヒアリング!$B$2:$B$78,$A5,ヒアリング!$N$2:$N$78,"GAP",ヒアリング!$R$2:$R$78,"ロジック改修")</f>
        <v>0</v>
      </c>
      <c r="J5" s="15" t="n">
        <f aca="false">COUNTIFS(ヒアリング!$B$2:$B$78,$A5,ヒアリング!$Z$2:$Z$78,"決定済み")</f>
        <v>0</v>
      </c>
      <c r="K5" s="15" t="n">
        <f aca="false">C5-J5</f>
        <v>4</v>
      </c>
    </row>
    <row r="6" customFormat="false" ht="15" hidden="false" customHeight="false" outlineLevel="0" collapsed="false">
      <c r="A6" s="13" t="s">
        <v>130</v>
      </c>
      <c r="B6" s="3" t="s">
        <v>131</v>
      </c>
      <c r="C6" s="15" t="n">
        <f aca="false">COUNTIF(ヒアリング!$B$2:$B$78,A6)</f>
        <v>9</v>
      </c>
      <c r="D6" s="15" t="n">
        <f aca="false">COUNTIFS(ヒアリング!$B$2:$B$78,$A6,ヒアリング!$N$2:$N$78,"適合")</f>
        <v>0</v>
      </c>
      <c r="E6" s="15" t="n">
        <f aca="false">COUNTIFS(ヒアリング!$B$2:$B$78,$A6,ヒアリング!$N$2:$N$78,"条件付き適合")</f>
        <v>0</v>
      </c>
      <c r="F6" s="15" t="n">
        <f aca="false">COUNTIFS(ヒアリング!$B$2:$B$78,$A6,ヒアリング!$N$2:$N$78,"GAP")</f>
        <v>0</v>
      </c>
      <c r="G6" s="15" t="n">
        <f aca="false">COUNTIFS(ヒアリング!$B$2:$B$78,$A6,ヒアリング!$N$2:$N$78,"対象外")</f>
        <v>0</v>
      </c>
      <c r="H6" s="15" t="n">
        <f aca="false">C6-SUM(D6:G6)</f>
        <v>9</v>
      </c>
      <c r="I6" s="15" t="n">
        <f aca="false">COUNTIFS(ヒアリング!$B$2:$B$78,$A6,ヒアリング!$N$2:$N$78,"GAP",ヒアリング!$R$2:$R$78,"ロジック改修")</f>
        <v>0</v>
      </c>
      <c r="J6" s="15" t="n">
        <f aca="false">COUNTIFS(ヒアリング!$B$2:$B$78,$A6,ヒアリング!$Z$2:$Z$78,"決定済み")</f>
        <v>0</v>
      </c>
      <c r="K6" s="15" t="n">
        <f aca="false">C6-J6</f>
        <v>9</v>
      </c>
    </row>
    <row r="7" customFormat="false" ht="15" hidden="false" customHeight="false" outlineLevel="0" collapsed="false">
      <c r="A7" s="13" t="s">
        <v>181</v>
      </c>
      <c r="B7" s="3" t="s">
        <v>182</v>
      </c>
      <c r="C7" s="15" t="n">
        <f aca="false">COUNTIF(ヒアリング!$B$2:$B$78,A7)</f>
        <v>5</v>
      </c>
      <c r="D7" s="15" t="n">
        <f aca="false">COUNTIFS(ヒアリング!$B$2:$B$78,$A7,ヒアリング!$N$2:$N$78,"適合")</f>
        <v>0</v>
      </c>
      <c r="E7" s="15" t="n">
        <f aca="false">COUNTIFS(ヒアリング!$B$2:$B$78,$A7,ヒアリング!$N$2:$N$78,"条件付き適合")</f>
        <v>0</v>
      </c>
      <c r="F7" s="15" t="n">
        <f aca="false">COUNTIFS(ヒアリング!$B$2:$B$78,$A7,ヒアリング!$N$2:$N$78,"GAP")</f>
        <v>0</v>
      </c>
      <c r="G7" s="15" t="n">
        <f aca="false">COUNTIFS(ヒアリング!$B$2:$B$78,$A7,ヒアリング!$N$2:$N$78,"対象外")</f>
        <v>0</v>
      </c>
      <c r="H7" s="15" t="n">
        <f aca="false">C7-SUM(D7:G7)</f>
        <v>5</v>
      </c>
      <c r="I7" s="15" t="n">
        <f aca="false">COUNTIFS(ヒアリング!$B$2:$B$78,$A7,ヒアリング!$N$2:$N$78,"GAP",ヒアリング!$R$2:$R$78,"ロジック改修")</f>
        <v>0</v>
      </c>
      <c r="J7" s="15" t="n">
        <f aca="false">COUNTIFS(ヒアリング!$B$2:$B$78,$A7,ヒアリング!$Z$2:$Z$78,"決定済み")</f>
        <v>0</v>
      </c>
      <c r="K7" s="15" t="n">
        <f aca="false">C7-J7</f>
        <v>5</v>
      </c>
    </row>
    <row r="8" customFormat="false" ht="15" hidden="false" customHeight="false" outlineLevel="0" collapsed="false">
      <c r="A8" s="13" t="s">
        <v>211</v>
      </c>
      <c r="B8" s="3" t="s">
        <v>212</v>
      </c>
      <c r="C8" s="15" t="n">
        <f aca="false">COUNTIF(ヒアリング!$B$2:$B$78,A8)</f>
        <v>3</v>
      </c>
      <c r="D8" s="15" t="n">
        <f aca="false">COUNTIFS(ヒアリング!$B$2:$B$78,$A8,ヒアリング!$N$2:$N$78,"適合")</f>
        <v>0</v>
      </c>
      <c r="E8" s="15" t="n">
        <f aca="false">COUNTIFS(ヒアリング!$B$2:$B$78,$A8,ヒアリング!$N$2:$N$78,"条件付き適合")</f>
        <v>0</v>
      </c>
      <c r="F8" s="15" t="n">
        <f aca="false">COUNTIFS(ヒアリング!$B$2:$B$78,$A8,ヒアリング!$N$2:$N$78,"GAP")</f>
        <v>0</v>
      </c>
      <c r="G8" s="15" t="n">
        <f aca="false">COUNTIFS(ヒアリング!$B$2:$B$78,$A8,ヒアリング!$N$2:$N$78,"対象外")</f>
        <v>0</v>
      </c>
      <c r="H8" s="15" t="n">
        <f aca="false">C8-SUM(D8:G8)</f>
        <v>3</v>
      </c>
      <c r="I8" s="15" t="n">
        <f aca="false">COUNTIFS(ヒアリング!$B$2:$B$78,$A8,ヒアリング!$N$2:$N$78,"GAP",ヒアリング!$R$2:$R$78,"ロジック改修")</f>
        <v>0</v>
      </c>
      <c r="J8" s="15" t="n">
        <f aca="false">COUNTIFS(ヒアリング!$B$2:$B$78,$A8,ヒアリング!$Z$2:$Z$78,"決定済み")</f>
        <v>0</v>
      </c>
      <c r="K8" s="15" t="n">
        <f aca="false">C8-J8</f>
        <v>3</v>
      </c>
    </row>
    <row r="9" customFormat="false" ht="15" hidden="false" customHeight="false" outlineLevel="0" collapsed="false">
      <c r="A9" s="13" t="s">
        <v>228</v>
      </c>
      <c r="B9" s="3" t="s">
        <v>229</v>
      </c>
      <c r="C9" s="15" t="n">
        <f aca="false">COUNTIF(ヒアリング!$B$2:$B$78,A9)</f>
        <v>2</v>
      </c>
      <c r="D9" s="15" t="n">
        <f aca="false">COUNTIFS(ヒアリング!$B$2:$B$78,$A9,ヒアリング!$N$2:$N$78,"適合")</f>
        <v>0</v>
      </c>
      <c r="E9" s="15" t="n">
        <f aca="false">COUNTIFS(ヒアリング!$B$2:$B$78,$A9,ヒアリング!$N$2:$N$78,"条件付き適合")</f>
        <v>0</v>
      </c>
      <c r="F9" s="15" t="n">
        <f aca="false">COUNTIFS(ヒアリング!$B$2:$B$78,$A9,ヒアリング!$N$2:$N$78,"GAP")</f>
        <v>0</v>
      </c>
      <c r="G9" s="15" t="n">
        <f aca="false">COUNTIFS(ヒアリング!$B$2:$B$78,$A9,ヒアリング!$N$2:$N$78,"対象外")</f>
        <v>0</v>
      </c>
      <c r="H9" s="15" t="n">
        <f aca="false">C9-SUM(D9:G9)</f>
        <v>2</v>
      </c>
      <c r="I9" s="15" t="n">
        <f aca="false">COUNTIFS(ヒアリング!$B$2:$B$78,$A9,ヒアリング!$N$2:$N$78,"GAP",ヒアリング!$R$2:$R$78,"ロジック改修")</f>
        <v>0</v>
      </c>
      <c r="J9" s="15" t="n">
        <f aca="false">COUNTIFS(ヒアリング!$B$2:$B$78,$A9,ヒアリング!$Z$2:$Z$78,"決定済み")</f>
        <v>0</v>
      </c>
      <c r="K9" s="15" t="n">
        <f aca="false">C9-J9</f>
        <v>2</v>
      </c>
    </row>
    <row r="10" customFormat="false" ht="15" hidden="false" customHeight="false" outlineLevel="0" collapsed="false">
      <c r="A10" s="13" t="s">
        <v>239</v>
      </c>
      <c r="B10" s="3" t="s">
        <v>240</v>
      </c>
      <c r="C10" s="15" t="n">
        <f aca="false">COUNTIF(ヒアリング!$B$2:$B$78,A10)</f>
        <v>3</v>
      </c>
      <c r="D10" s="15" t="n">
        <f aca="false">COUNTIFS(ヒアリング!$B$2:$B$78,$A10,ヒアリング!$N$2:$N$78,"適合")</f>
        <v>0</v>
      </c>
      <c r="E10" s="15" t="n">
        <f aca="false">COUNTIFS(ヒアリング!$B$2:$B$78,$A10,ヒアリング!$N$2:$N$78,"条件付き適合")</f>
        <v>0</v>
      </c>
      <c r="F10" s="15" t="n">
        <f aca="false">COUNTIFS(ヒアリング!$B$2:$B$78,$A10,ヒアリング!$N$2:$N$78,"GAP")</f>
        <v>0</v>
      </c>
      <c r="G10" s="15" t="n">
        <f aca="false">COUNTIFS(ヒアリング!$B$2:$B$78,$A10,ヒアリング!$N$2:$N$78,"対象外")</f>
        <v>0</v>
      </c>
      <c r="H10" s="15" t="n">
        <f aca="false">C10-SUM(D10:G10)</f>
        <v>3</v>
      </c>
      <c r="I10" s="15" t="n">
        <f aca="false">COUNTIFS(ヒアリング!$B$2:$B$78,$A10,ヒアリング!$N$2:$N$78,"GAP",ヒアリング!$R$2:$R$78,"ロジック改修")</f>
        <v>0</v>
      </c>
      <c r="J10" s="15" t="n">
        <f aca="false">COUNTIFS(ヒアリング!$B$2:$B$78,$A10,ヒアリング!$Z$2:$Z$78,"決定済み")</f>
        <v>0</v>
      </c>
      <c r="K10" s="15" t="n">
        <f aca="false">C10-J10</f>
        <v>3</v>
      </c>
    </row>
    <row r="11" customFormat="false" ht="15" hidden="false" customHeight="false" outlineLevel="0" collapsed="false">
      <c r="A11" s="13" t="s">
        <v>256</v>
      </c>
      <c r="B11" s="3" t="s">
        <v>257</v>
      </c>
      <c r="C11" s="15" t="n">
        <f aca="false">COUNTIF(ヒアリング!$B$2:$B$78,A11)</f>
        <v>3</v>
      </c>
      <c r="D11" s="15" t="n">
        <f aca="false">COUNTIFS(ヒアリング!$B$2:$B$78,$A11,ヒアリング!$N$2:$N$78,"適合")</f>
        <v>0</v>
      </c>
      <c r="E11" s="15" t="n">
        <f aca="false">COUNTIFS(ヒアリング!$B$2:$B$78,$A11,ヒアリング!$N$2:$N$78,"条件付き適合")</f>
        <v>0</v>
      </c>
      <c r="F11" s="15" t="n">
        <f aca="false">COUNTIFS(ヒアリング!$B$2:$B$78,$A11,ヒアリング!$N$2:$N$78,"GAP")</f>
        <v>0</v>
      </c>
      <c r="G11" s="15" t="n">
        <f aca="false">COUNTIFS(ヒアリング!$B$2:$B$78,$A11,ヒアリング!$N$2:$N$78,"対象外")</f>
        <v>0</v>
      </c>
      <c r="H11" s="15" t="n">
        <f aca="false">C11-SUM(D11:G11)</f>
        <v>3</v>
      </c>
      <c r="I11" s="15" t="n">
        <f aca="false">COUNTIFS(ヒアリング!$B$2:$B$78,$A11,ヒアリング!$N$2:$N$78,"GAP",ヒアリング!$R$2:$R$78,"ロジック改修")</f>
        <v>0</v>
      </c>
      <c r="J11" s="15" t="n">
        <f aca="false">COUNTIFS(ヒアリング!$B$2:$B$78,$A11,ヒアリング!$Z$2:$Z$78,"決定済み")</f>
        <v>0</v>
      </c>
      <c r="K11" s="15" t="n">
        <f aca="false">C11-J11</f>
        <v>3</v>
      </c>
    </row>
    <row r="12" customFormat="false" ht="15" hidden="false" customHeight="false" outlineLevel="0" collapsed="false">
      <c r="A12" s="13" t="s">
        <v>273</v>
      </c>
      <c r="B12" s="3" t="s">
        <v>274</v>
      </c>
      <c r="C12" s="15" t="n">
        <f aca="false">COUNTIF(ヒアリング!$B$2:$B$78,A12)</f>
        <v>2</v>
      </c>
      <c r="D12" s="15" t="n">
        <f aca="false">COUNTIFS(ヒアリング!$B$2:$B$78,$A12,ヒアリング!$N$2:$N$78,"適合")</f>
        <v>0</v>
      </c>
      <c r="E12" s="15" t="n">
        <f aca="false">COUNTIFS(ヒアリング!$B$2:$B$78,$A12,ヒアリング!$N$2:$N$78,"条件付き適合")</f>
        <v>0</v>
      </c>
      <c r="F12" s="15" t="n">
        <f aca="false">COUNTIFS(ヒアリング!$B$2:$B$78,$A12,ヒアリング!$N$2:$N$78,"GAP")</f>
        <v>0</v>
      </c>
      <c r="G12" s="15" t="n">
        <f aca="false">COUNTIFS(ヒアリング!$B$2:$B$78,$A12,ヒアリング!$N$2:$N$78,"対象外")</f>
        <v>0</v>
      </c>
      <c r="H12" s="15" t="n">
        <f aca="false">C12-SUM(D12:G12)</f>
        <v>2</v>
      </c>
      <c r="I12" s="15" t="n">
        <f aca="false">COUNTIFS(ヒアリング!$B$2:$B$78,$A12,ヒアリング!$N$2:$N$78,"GAP",ヒアリング!$R$2:$R$78,"ロジック改修")</f>
        <v>0</v>
      </c>
      <c r="J12" s="15" t="n">
        <f aca="false">COUNTIFS(ヒアリング!$B$2:$B$78,$A12,ヒアリング!$Z$2:$Z$78,"決定済み")</f>
        <v>0</v>
      </c>
      <c r="K12" s="15" t="n">
        <f aca="false">C12-J12</f>
        <v>2</v>
      </c>
    </row>
    <row r="13" customFormat="false" ht="15" hidden="false" customHeight="false" outlineLevel="0" collapsed="false">
      <c r="A13" s="13" t="s">
        <v>285</v>
      </c>
      <c r="B13" s="3" t="s">
        <v>286</v>
      </c>
      <c r="C13" s="15" t="n">
        <f aca="false">COUNTIF(ヒアリング!$B$2:$B$78,A13)</f>
        <v>4</v>
      </c>
      <c r="D13" s="15" t="n">
        <f aca="false">COUNTIFS(ヒアリング!$B$2:$B$78,$A13,ヒアリング!$N$2:$N$78,"適合")</f>
        <v>0</v>
      </c>
      <c r="E13" s="15" t="n">
        <f aca="false">COUNTIFS(ヒアリング!$B$2:$B$78,$A13,ヒアリング!$N$2:$N$78,"条件付き適合")</f>
        <v>0</v>
      </c>
      <c r="F13" s="15" t="n">
        <f aca="false">COUNTIFS(ヒアリング!$B$2:$B$78,$A13,ヒアリング!$N$2:$N$78,"GAP")</f>
        <v>0</v>
      </c>
      <c r="G13" s="15" t="n">
        <f aca="false">COUNTIFS(ヒアリング!$B$2:$B$78,$A13,ヒアリング!$N$2:$N$78,"対象外")</f>
        <v>0</v>
      </c>
      <c r="H13" s="15" t="n">
        <f aca="false">C13-SUM(D13:G13)</f>
        <v>4</v>
      </c>
      <c r="I13" s="15" t="n">
        <f aca="false">COUNTIFS(ヒアリング!$B$2:$B$78,$A13,ヒアリング!$N$2:$N$78,"GAP",ヒアリング!$R$2:$R$78,"ロジック改修")</f>
        <v>0</v>
      </c>
      <c r="J13" s="15" t="n">
        <f aca="false">COUNTIFS(ヒアリング!$B$2:$B$78,$A13,ヒアリング!$Z$2:$Z$78,"決定済み")</f>
        <v>0</v>
      </c>
      <c r="K13" s="15" t="n">
        <f aca="false">C13-J13</f>
        <v>4</v>
      </c>
    </row>
    <row r="14" customFormat="false" ht="15" hidden="false" customHeight="false" outlineLevel="0" collapsed="false">
      <c r="A14" s="13" t="s">
        <v>305</v>
      </c>
      <c r="B14" s="3" t="s">
        <v>306</v>
      </c>
      <c r="C14" s="15" t="n">
        <f aca="false">COUNTIF(ヒアリング!$B$2:$B$78,A14)</f>
        <v>3</v>
      </c>
      <c r="D14" s="15" t="n">
        <f aca="false">COUNTIFS(ヒアリング!$B$2:$B$78,$A14,ヒアリング!$N$2:$N$78,"適合")</f>
        <v>0</v>
      </c>
      <c r="E14" s="15" t="n">
        <f aca="false">COUNTIFS(ヒアリング!$B$2:$B$78,$A14,ヒアリング!$N$2:$N$78,"条件付き適合")</f>
        <v>0</v>
      </c>
      <c r="F14" s="15" t="n">
        <f aca="false">COUNTIFS(ヒアリング!$B$2:$B$78,$A14,ヒアリング!$N$2:$N$78,"GAP")</f>
        <v>0</v>
      </c>
      <c r="G14" s="15" t="n">
        <f aca="false">COUNTIFS(ヒアリング!$B$2:$B$78,$A14,ヒアリング!$N$2:$N$78,"対象外")</f>
        <v>0</v>
      </c>
      <c r="H14" s="15" t="n">
        <f aca="false">C14-SUM(D14:G14)</f>
        <v>3</v>
      </c>
      <c r="I14" s="15" t="n">
        <f aca="false">COUNTIFS(ヒアリング!$B$2:$B$78,$A14,ヒアリング!$N$2:$N$78,"GAP",ヒアリング!$R$2:$R$78,"ロジック改修")</f>
        <v>0</v>
      </c>
      <c r="J14" s="15" t="n">
        <f aca="false">COUNTIFS(ヒアリング!$B$2:$B$78,$A14,ヒアリング!$Z$2:$Z$78,"決定済み")</f>
        <v>0</v>
      </c>
      <c r="K14" s="15" t="n">
        <f aca="false">C14-J14</f>
        <v>3</v>
      </c>
    </row>
    <row r="15" customFormat="false" ht="29.85" hidden="false" customHeight="false" outlineLevel="0" collapsed="false">
      <c r="A15" s="13" t="s">
        <v>323</v>
      </c>
      <c r="B15" s="3" t="s">
        <v>324</v>
      </c>
      <c r="C15" s="15" t="n">
        <f aca="false">COUNTIF(ヒアリング!$B$2:$B$78,A15)</f>
        <v>7</v>
      </c>
      <c r="D15" s="15" t="n">
        <f aca="false">COUNTIFS(ヒアリング!$B$2:$B$78,$A15,ヒアリング!$N$2:$N$78,"適合")</f>
        <v>0</v>
      </c>
      <c r="E15" s="15" t="n">
        <f aca="false">COUNTIFS(ヒアリング!$B$2:$B$78,$A15,ヒアリング!$N$2:$N$78,"条件付き適合")</f>
        <v>0</v>
      </c>
      <c r="F15" s="15" t="n">
        <f aca="false">COUNTIFS(ヒアリング!$B$2:$B$78,$A15,ヒアリング!$N$2:$N$78,"GAP")</f>
        <v>0</v>
      </c>
      <c r="G15" s="15" t="n">
        <f aca="false">COUNTIFS(ヒアリング!$B$2:$B$78,$A15,ヒアリング!$N$2:$N$78,"対象外")</f>
        <v>0</v>
      </c>
      <c r="H15" s="15" t="n">
        <f aca="false">C15-SUM(D15:G15)</f>
        <v>7</v>
      </c>
      <c r="I15" s="15" t="n">
        <f aca="false">COUNTIFS(ヒアリング!$B$2:$B$78,$A15,ヒアリング!$N$2:$N$78,"GAP",ヒアリング!$R$2:$R$78,"ロジック改修")</f>
        <v>0</v>
      </c>
      <c r="J15" s="15" t="n">
        <f aca="false">COUNTIFS(ヒアリング!$B$2:$B$78,$A15,ヒアリング!$Z$2:$Z$78,"決定済み")</f>
        <v>0</v>
      </c>
      <c r="K15" s="15" t="n">
        <f aca="false">C15-J15</f>
        <v>7</v>
      </c>
    </row>
    <row r="16" customFormat="false" ht="15" hidden="false" customHeight="false" outlineLevel="0" collapsed="false">
      <c r="A16" s="13" t="s">
        <v>356</v>
      </c>
      <c r="B16" s="3" t="s">
        <v>357</v>
      </c>
      <c r="C16" s="15" t="n">
        <f aca="false">COUNTIF(ヒアリング!$B$2:$B$78,A16)</f>
        <v>3</v>
      </c>
      <c r="D16" s="15" t="n">
        <f aca="false">COUNTIFS(ヒアリング!$B$2:$B$78,$A16,ヒアリング!$N$2:$N$78,"適合")</f>
        <v>0</v>
      </c>
      <c r="E16" s="15" t="n">
        <f aca="false">COUNTIFS(ヒアリング!$B$2:$B$78,$A16,ヒアリング!$N$2:$N$78,"条件付き適合")</f>
        <v>0</v>
      </c>
      <c r="F16" s="15" t="n">
        <f aca="false">COUNTIFS(ヒアリング!$B$2:$B$78,$A16,ヒアリング!$N$2:$N$78,"GAP")</f>
        <v>0</v>
      </c>
      <c r="G16" s="15" t="n">
        <f aca="false">COUNTIFS(ヒアリング!$B$2:$B$78,$A16,ヒアリング!$N$2:$N$78,"対象外")</f>
        <v>0</v>
      </c>
      <c r="H16" s="15" t="n">
        <f aca="false">C16-SUM(D16:G16)</f>
        <v>3</v>
      </c>
      <c r="I16" s="15" t="n">
        <f aca="false">COUNTIFS(ヒアリング!$B$2:$B$78,$A16,ヒアリング!$N$2:$N$78,"GAP",ヒアリング!$R$2:$R$78,"ロジック改修")</f>
        <v>0</v>
      </c>
      <c r="J16" s="15" t="n">
        <f aca="false">COUNTIFS(ヒアリング!$B$2:$B$78,$A16,ヒアリング!$Z$2:$Z$78,"決定済み")</f>
        <v>0</v>
      </c>
      <c r="K16" s="15" t="n">
        <f aca="false">C16-J16</f>
        <v>3</v>
      </c>
    </row>
    <row r="17" customFormat="false" ht="15" hidden="false" customHeight="false" outlineLevel="0" collapsed="false">
      <c r="A17" s="13" t="s">
        <v>375</v>
      </c>
      <c r="B17" s="3" t="s">
        <v>376</v>
      </c>
      <c r="C17" s="15" t="n">
        <f aca="false">COUNTIF(ヒアリング!$B$2:$B$78,A17)</f>
        <v>2</v>
      </c>
      <c r="D17" s="15" t="n">
        <f aca="false">COUNTIFS(ヒアリング!$B$2:$B$78,$A17,ヒアリング!$N$2:$N$78,"適合")</f>
        <v>0</v>
      </c>
      <c r="E17" s="15" t="n">
        <f aca="false">COUNTIFS(ヒアリング!$B$2:$B$78,$A17,ヒアリング!$N$2:$N$78,"条件付き適合")</f>
        <v>0</v>
      </c>
      <c r="F17" s="15" t="n">
        <f aca="false">COUNTIFS(ヒアリング!$B$2:$B$78,$A17,ヒアリング!$N$2:$N$78,"GAP")</f>
        <v>0</v>
      </c>
      <c r="G17" s="15" t="n">
        <f aca="false">COUNTIFS(ヒアリング!$B$2:$B$78,$A17,ヒアリング!$N$2:$N$78,"対象外")</f>
        <v>0</v>
      </c>
      <c r="H17" s="15" t="n">
        <f aca="false">C17-SUM(D17:G17)</f>
        <v>2</v>
      </c>
      <c r="I17" s="15" t="n">
        <f aca="false">COUNTIFS(ヒアリング!$B$2:$B$78,$A17,ヒアリング!$N$2:$N$78,"GAP",ヒアリング!$R$2:$R$78,"ロジック改修")</f>
        <v>0</v>
      </c>
      <c r="J17" s="15" t="n">
        <f aca="false">COUNTIFS(ヒアリング!$B$2:$B$78,$A17,ヒアリング!$Z$2:$Z$78,"決定済み")</f>
        <v>0</v>
      </c>
      <c r="K17" s="15" t="n">
        <f aca="false">C17-J17</f>
        <v>2</v>
      </c>
    </row>
    <row r="18" customFormat="false" ht="15" hidden="false" customHeight="false" outlineLevel="0" collapsed="false">
      <c r="A18" s="13" t="s">
        <v>387</v>
      </c>
      <c r="B18" s="3" t="s">
        <v>388</v>
      </c>
      <c r="C18" s="15" t="n">
        <f aca="false">COUNTIF(ヒアリング!$B$2:$B$78,A18)</f>
        <v>4</v>
      </c>
      <c r="D18" s="15" t="n">
        <f aca="false">COUNTIFS(ヒアリング!$B$2:$B$78,$A18,ヒアリング!$N$2:$N$78,"適合")</f>
        <v>0</v>
      </c>
      <c r="E18" s="15" t="n">
        <f aca="false">COUNTIFS(ヒアリング!$B$2:$B$78,$A18,ヒアリング!$N$2:$N$78,"条件付き適合")</f>
        <v>0</v>
      </c>
      <c r="F18" s="15" t="n">
        <f aca="false">COUNTIFS(ヒアリング!$B$2:$B$78,$A18,ヒアリング!$N$2:$N$78,"GAP")</f>
        <v>0</v>
      </c>
      <c r="G18" s="15" t="n">
        <f aca="false">COUNTIFS(ヒアリング!$B$2:$B$78,$A18,ヒアリング!$N$2:$N$78,"対象外")</f>
        <v>0</v>
      </c>
      <c r="H18" s="15" t="n">
        <f aca="false">C18-SUM(D18:G18)</f>
        <v>4</v>
      </c>
      <c r="I18" s="15" t="n">
        <f aca="false">COUNTIFS(ヒアリング!$B$2:$B$78,$A18,ヒアリング!$N$2:$N$78,"GAP",ヒアリング!$R$2:$R$78,"ロジック改修")</f>
        <v>0</v>
      </c>
      <c r="J18" s="15" t="n">
        <f aca="false">COUNTIFS(ヒアリング!$B$2:$B$78,$A18,ヒアリング!$Z$2:$Z$78,"決定済み")</f>
        <v>0</v>
      </c>
      <c r="K18" s="15" t="n">
        <f aca="false">C18-J18</f>
        <v>4</v>
      </c>
    </row>
    <row r="19" customFormat="false" ht="15" hidden="false" customHeight="false" outlineLevel="0" collapsed="false">
      <c r="A19" s="13" t="s">
        <v>406</v>
      </c>
      <c r="B19" s="3" t="s">
        <v>407</v>
      </c>
      <c r="C19" s="15" t="n">
        <f aca="false">COUNTIF(ヒアリング!$B$2:$B$78,A19)</f>
        <v>2</v>
      </c>
      <c r="D19" s="15" t="n">
        <f aca="false">COUNTIFS(ヒアリング!$B$2:$B$78,$A19,ヒアリング!$N$2:$N$78,"適合")</f>
        <v>0</v>
      </c>
      <c r="E19" s="15" t="n">
        <f aca="false">COUNTIFS(ヒアリング!$B$2:$B$78,$A19,ヒアリング!$N$2:$N$78,"条件付き適合")</f>
        <v>0</v>
      </c>
      <c r="F19" s="15" t="n">
        <f aca="false">COUNTIFS(ヒアリング!$B$2:$B$78,$A19,ヒアリング!$N$2:$N$78,"GAP")</f>
        <v>0</v>
      </c>
      <c r="G19" s="15" t="n">
        <f aca="false">COUNTIFS(ヒアリング!$B$2:$B$78,$A19,ヒアリング!$N$2:$N$78,"対象外")</f>
        <v>0</v>
      </c>
      <c r="H19" s="15" t="n">
        <f aca="false">C19-SUM(D19:G19)</f>
        <v>2</v>
      </c>
      <c r="I19" s="15" t="n">
        <f aca="false">COUNTIFS(ヒアリング!$B$2:$B$78,$A19,ヒアリング!$N$2:$N$78,"GAP",ヒアリング!$R$2:$R$78,"ロジック改修")</f>
        <v>0</v>
      </c>
      <c r="J19" s="15" t="n">
        <f aca="false">COUNTIFS(ヒアリング!$B$2:$B$78,$A19,ヒアリング!$Z$2:$Z$78,"決定済み")</f>
        <v>0</v>
      </c>
      <c r="K19" s="15" t="n">
        <f aca="false">C19-J19</f>
        <v>2</v>
      </c>
    </row>
    <row r="20" customFormat="false" ht="15" hidden="false" customHeight="false" outlineLevel="0" collapsed="false">
      <c r="A20" s="13" t="s">
        <v>416</v>
      </c>
      <c r="B20" s="3" t="s">
        <v>417</v>
      </c>
      <c r="C20" s="15" t="n">
        <f aca="false">COUNTIF(ヒアリング!$B$2:$B$78,A20)</f>
        <v>2</v>
      </c>
      <c r="D20" s="15" t="n">
        <f aca="false">COUNTIFS(ヒアリング!$B$2:$B$78,$A20,ヒアリング!$N$2:$N$78,"適合")</f>
        <v>0</v>
      </c>
      <c r="E20" s="15" t="n">
        <f aca="false">COUNTIFS(ヒアリング!$B$2:$B$78,$A20,ヒアリング!$N$2:$N$78,"条件付き適合")</f>
        <v>0</v>
      </c>
      <c r="F20" s="15" t="n">
        <f aca="false">COUNTIFS(ヒアリング!$B$2:$B$78,$A20,ヒアリング!$N$2:$N$78,"GAP")</f>
        <v>0</v>
      </c>
      <c r="G20" s="15" t="n">
        <f aca="false">COUNTIFS(ヒアリング!$B$2:$B$78,$A20,ヒアリング!$N$2:$N$78,"対象外")</f>
        <v>0</v>
      </c>
      <c r="H20" s="15" t="n">
        <f aca="false">C20-SUM(D20:G20)</f>
        <v>2</v>
      </c>
      <c r="I20" s="15" t="n">
        <f aca="false">COUNTIFS(ヒアリング!$B$2:$B$78,$A20,ヒアリング!$N$2:$N$78,"GAP",ヒアリング!$R$2:$R$78,"ロジック改修")</f>
        <v>0</v>
      </c>
      <c r="J20" s="15" t="n">
        <f aca="false">COUNTIFS(ヒアリング!$B$2:$B$78,$A20,ヒアリング!$Z$2:$Z$78,"決定済み")</f>
        <v>0</v>
      </c>
      <c r="K20" s="15" t="n">
        <f aca="false">C20-J20</f>
        <v>2</v>
      </c>
    </row>
    <row r="21" customFormat="false" ht="15" hidden="false" customHeight="false" outlineLevel="0" collapsed="false">
      <c r="A21" s="13" t="s">
        <v>430</v>
      </c>
      <c r="B21" s="3" t="s">
        <v>431</v>
      </c>
      <c r="C21" s="15" t="n">
        <f aca="false">COUNTIF(ヒアリング!$B$2:$B$78,A21)</f>
        <v>3</v>
      </c>
      <c r="D21" s="15" t="n">
        <f aca="false">COUNTIFS(ヒアリング!$B$2:$B$78,$A21,ヒアリング!$N$2:$N$78,"適合")</f>
        <v>0</v>
      </c>
      <c r="E21" s="15" t="n">
        <f aca="false">COUNTIFS(ヒアリング!$B$2:$B$78,$A21,ヒアリング!$N$2:$N$78,"条件付き適合")</f>
        <v>0</v>
      </c>
      <c r="F21" s="15" t="n">
        <f aca="false">COUNTIFS(ヒアリング!$B$2:$B$78,$A21,ヒアリング!$N$2:$N$78,"GAP")</f>
        <v>0</v>
      </c>
      <c r="G21" s="15" t="n">
        <f aca="false">COUNTIFS(ヒアリング!$B$2:$B$78,$A21,ヒアリング!$N$2:$N$78,"対象外")</f>
        <v>0</v>
      </c>
      <c r="H21" s="15" t="n">
        <f aca="false">C21-SUM(D21:G21)</f>
        <v>3</v>
      </c>
      <c r="I21" s="15" t="n">
        <f aca="false">COUNTIFS(ヒアリング!$B$2:$B$78,$A21,ヒアリング!$N$2:$N$78,"GAP",ヒアリング!$R$2:$R$78,"ロジック改修")</f>
        <v>0</v>
      </c>
      <c r="J21" s="15" t="n">
        <f aca="false">COUNTIFS(ヒアリング!$B$2:$B$78,$A21,ヒアリング!$Z$2:$Z$78,"決定済み")</f>
        <v>0</v>
      </c>
      <c r="K21" s="15" t="n">
        <f aca="false">C21-J21</f>
        <v>3</v>
      </c>
    </row>
    <row r="22" customFormat="false" ht="15" hidden="false" customHeight="false" outlineLevel="0" collapsed="false">
      <c r="A22" s="13" t="s">
        <v>447</v>
      </c>
      <c r="B22" s="3" t="s">
        <v>448</v>
      </c>
      <c r="C22" s="15" t="n">
        <f aca="false">COUNTIF(ヒアリング!$B$2:$B$78,A22)</f>
        <v>1</v>
      </c>
      <c r="D22" s="15" t="n">
        <f aca="false">COUNTIFS(ヒアリング!$B$2:$B$78,$A22,ヒアリング!$N$2:$N$78,"適合")</f>
        <v>0</v>
      </c>
      <c r="E22" s="15" t="n">
        <f aca="false">COUNTIFS(ヒアリング!$B$2:$B$78,$A22,ヒアリング!$N$2:$N$78,"条件付き適合")</f>
        <v>0</v>
      </c>
      <c r="F22" s="15" t="n">
        <f aca="false">COUNTIFS(ヒアリング!$B$2:$B$78,$A22,ヒアリング!$N$2:$N$78,"GAP")</f>
        <v>0</v>
      </c>
      <c r="G22" s="15" t="n">
        <f aca="false">COUNTIFS(ヒアリング!$B$2:$B$78,$A22,ヒアリング!$N$2:$N$78,"対象外")</f>
        <v>0</v>
      </c>
      <c r="H22" s="15" t="n">
        <f aca="false">C22-SUM(D22:G22)</f>
        <v>1</v>
      </c>
      <c r="I22" s="15" t="n">
        <f aca="false">COUNTIFS(ヒアリング!$B$2:$B$78,$A22,ヒアリング!$N$2:$N$78,"GAP",ヒアリング!$R$2:$R$78,"ロジック改修")</f>
        <v>0</v>
      </c>
      <c r="J22" s="15" t="n">
        <f aca="false">COUNTIFS(ヒアリング!$B$2:$B$78,$A22,ヒアリング!$Z$2:$Z$78,"決定済み")</f>
        <v>0</v>
      </c>
      <c r="K22" s="15" t="n">
        <f aca="false">C22-J22</f>
        <v>1</v>
      </c>
    </row>
    <row r="23" customFormat="false" ht="15" hidden="false" customHeight="false" outlineLevel="0" collapsed="false">
      <c r="A23" s="13" t="s">
        <v>454</v>
      </c>
      <c r="B23" s="3" t="s">
        <v>455</v>
      </c>
      <c r="C23" s="15" t="n">
        <f aca="false">COUNTIF(ヒアリング!$B$2:$B$78,A23)</f>
        <v>2</v>
      </c>
      <c r="D23" s="15" t="n">
        <f aca="false">COUNTIFS(ヒアリング!$B$2:$B$78,$A23,ヒアリング!$N$2:$N$78,"適合")</f>
        <v>0</v>
      </c>
      <c r="E23" s="15" t="n">
        <f aca="false">COUNTIFS(ヒアリング!$B$2:$B$78,$A23,ヒアリング!$N$2:$N$78,"条件付き適合")</f>
        <v>0</v>
      </c>
      <c r="F23" s="15" t="n">
        <f aca="false">COUNTIFS(ヒアリング!$B$2:$B$78,$A23,ヒアリング!$N$2:$N$78,"GAP")</f>
        <v>0</v>
      </c>
      <c r="G23" s="15" t="n">
        <f aca="false">COUNTIFS(ヒアリング!$B$2:$B$78,$A23,ヒアリング!$N$2:$N$78,"対象外")</f>
        <v>0</v>
      </c>
      <c r="H23" s="15" t="n">
        <f aca="false">C23-SUM(D23:G23)</f>
        <v>2</v>
      </c>
      <c r="I23" s="15" t="n">
        <f aca="false">COUNTIFS(ヒアリング!$B$2:$B$78,$A23,ヒアリング!$N$2:$N$78,"GAP",ヒアリング!$R$2:$R$78,"ロジック改修")</f>
        <v>0</v>
      </c>
      <c r="J23" s="15" t="n">
        <f aca="false">COUNTIFS(ヒアリング!$B$2:$B$78,$A23,ヒアリング!$Z$2:$Z$78,"決定済み")</f>
        <v>0</v>
      </c>
      <c r="K23" s="15" t="n">
        <f aca="false">C23-J23</f>
        <v>2</v>
      </c>
    </row>
    <row r="24" customFormat="false" ht="15" hidden="false" customHeight="false" outlineLevel="0" collapsed="false">
      <c r="A24" s="13" t="s">
        <v>466</v>
      </c>
      <c r="B24" s="3" t="s">
        <v>467</v>
      </c>
      <c r="C24" s="15" t="n">
        <f aca="false">COUNTIF(ヒアリング!$B$2:$B$78,A24)</f>
        <v>3</v>
      </c>
      <c r="D24" s="15" t="n">
        <f aca="false">COUNTIFS(ヒアリング!$B$2:$B$78,$A24,ヒアリング!$N$2:$N$78,"適合")</f>
        <v>0</v>
      </c>
      <c r="E24" s="15" t="n">
        <f aca="false">COUNTIFS(ヒアリング!$B$2:$B$78,$A24,ヒアリング!$N$2:$N$78,"条件付き適合")</f>
        <v>0</v>
      </c>
      <c r="F24" s="15" t="n">
        <f aca="false">COUNTIFS(ヒアリング!$B$2:$B$78,$A24,ヒアリング!$N$2:$N$78,"GAP")</f>
        <v>0</v>
      </c>
      <c r="G24" s="15" t="n">
        <f aca="false">COUNTIFS(ヒアリング!$B$2:$B$78,$A24,ヒアリング!$N$2:$N$78,"対象外")</f>
        <v>0</v>
      </c>
      <c r="H24" s="15" t="n">
        <f aca="false">C24-SUM(D24:G24)</f>
        <v>3</v>
      </c>
      <c r="I24" s="15" t="n">
        <f aca="false">COUNTIFS(ヒアリング!$B$2:$B$78,$A24,ヒアリング!$N$2:$N$78,"GAP",ヒアリング!$R$2:$R$78,"ロジック改修")</f>
        <v>0</v>
      </c>
      <c r="J24" s="15" t="n">
        <f aca="false">COUNTIFS(ヒアリング!$B$2:$B$78,$A24,ヒアリング!$Z$2:$Z$78,"決定済み")</f>
        <v>0</v>
      </c>
      <c r="K24" s="15" t="n">
        <f aca="false">C24-J24</f>
        <v>3</v>
      </c>
    </row>
    <row r="25" customFormat="false" ht="15" hidden="false" customHeight="false" outlineLevel="0" collapsed="false">
      <c r="A25" s="13" t="s">
        <v>483</v>
      </c>
      <c r="B25" s="3" t="s">
        <v>484</v>
      </c>
      <c r="C25" s="15" t="n">
        <f aca="false">COUNTIF(ヒアリング!$B$2:$B$78,A25)</f>
        <v>1</v>
      </c>
      <c r="D25" s="15" t="n">
        <f aca="false">COUNTIFS(ヒアリング!$B$2:$B$78,$A25,ヒアリング!$N$2:$N$78,"適合")</f>
        <v>0</v>
      </c>
      <c r="E25" s="15" t="n">
        <f aca="false">COUNTIFS(ヒアリング!$B$2:$B$78,$A25,ヒアリング!$N$2:$N$78,"条件付き適合")</f>
        <v>0</v>
      </c>
      <c r="F25" s="15" t="n">
        <f aca="false">COUNTIFS(ヒアリング!$B$2:$B$78,$A25,ヒアリング!$N$2:$N$78,"GAP")</f>
        <v>0</v>
      </c>
      <c r="G25" s="15" t="n">
        <f aca="false">COUNTIFS(ヒアリング!$B$2:$B$78,$A25,ヒアリング!$N$2:$N$78,"対象外")</f>
        <v>0</v>
      </c>
      <c r="H25" s="15" t="n">
        <f aca="false">C25-SUM(D25:G25)</f>
        <v>1</v>
      </c>
      <c r="I25" s="15" t="n">
        <f aca="false">COUNTIFS(ヒアリング!$B$2:$B$78,$A25,ヒアリング!$N$2:$N$78,"GAP",ヒアリング!$R$2:$R$78,"ロジック改修")</f>
        <v>0</v>
      </c>
      <c r="J25" s="15" t="n">
        <f aca="false">COUNTIFS(ヒアリング!$B$2:$B$78,$A25,ヒアリング!$Z$2:$Z$78,"決定済み")</f>
        <v>0</v>
      </c>
      <c r="K25" s="15" t="n">
        <f aca="false">C25-J25</f>
        <v>1</v>
      </c>
    </row>
    <row r="26" customFormat="false" ht="15" hidden="false" customHeight="false" outlineLevel="0" collapsed="false">
      <c r="A26" s="13" t="s">
        <v>491</v>
      </c>
      <c r="B26" s="3" t="s">
        <v>492</v>
      </c>
      <c r="C26" s="15" t="n">
        <f aca="false">COUNTIF(ヒアリング!$B$2:$B$78,A26)</f>
        <v>1</v>
      </c>
      <c r="D26" s="15" t="n">
        <f aca="false">COUNTIFS(ヒアリング!$B$2:$B$78,$A26,ヒアリング!$N$2:$N$78,"適合")</f>
        <v>0</v>
      </c>
      <c r="E26" s="15" t="n">
        <f aca="false">COUNTIFS(ヒアリング!$B$2:$B$78,$A26,ヒアリング!$N$2:$N$78,"条件付き適合")</f>
        <v>0</v>
      </c>
      <c r="F26" s="15" t="n">
        <f aca="false">COUNTIFS(ヒアリング!$B$2:$B$78,$A26,ヒアリング!$N$2:$N$78,"GAP")</f>
        <v>0</v>
      </c>
      <c r="G26" s="15" t="n">
        <f aca="false">COUNTIFS(ヒアリング!$B$2:$B$78,$A26,ヒアリング!$N$2:$N$78,"対象外")</f>
        <v>0</v>
      </c>
      <c r="H26" s="15" t="n">
        <f aca="false">C26-SUM(D26:G26)</f>
        <v>1</v>
      </c>
      <c r="I26" s="15" t="n">
        <f aca="false">COUNTIFS(ヒアリング!$B$2:$B$78,$A26,ヒアリング!$N$2:$N$78,"GAP",ヒアリング!$R$2:$R$78,"ロジック改修")</f>
        <v>0</v>
      </c>
      <c r="J26" s="15" t="n">
        <f aca="false">COUNTIFS(ヒアリング!$B$2:$B$78,$A26,ヒアリング!$Z$2:$Z$78,"決定済み")</f>
        <v>0</v>
      </c>
      <c r="K26" s="15" t="n">
        <f aca="false">C26-J26</f>
        <v>1</v>
      </c>
    </row>
    <row r="27" customFormat="false" ht="15" hidden="false" customHeight="false" outlineLevel="0" collapsed="false">
      <c r="A27" s="13" t="s">
        <v>498</v>
      </c>
      <c r="B27" s="3" t="s">
        <v>499</v>
      </c>
      <c r="C27" s="15" t="n">
        <f aca="false">COUNTIF(ヒアリング!$B$2:$B$78,A27)</f>
        <v>1</v>
      </c>
      <c r="D27" s="15" t="n">
        <f aca="false">COUNTIFS(ヒアリング!$B$2:$B$78,$A27,ヒアリング!$N$2:$N$78,"適合")</f>
        <v>0</v>
      </c>
      <c r="E27" s="15" t="n">
        <f aca="false">COUNTIFS(ヒアリング!$B$2:$B$78,$A27,ヒアリング!$N$2:$N$78,"条件付き適合")</f>
        <v>0</v>
      </c>
      <c r="F27" s="15" t="n">
        <f aca="false">COUNTIFS(ヒアリング!$B$2:$B$78,$A27,ヒアリング!$N$2:$N$78,"GAP")</f>
        <v>0</v>
      </c>
      <c r="G27" s="15" t="n">
        <f aca="false">COUNTIFS(ヒアリング!$B$2:$B$78,$A27,ヒアリング!$N$2:$N$78,"対象外")</f>
        <v>0</v>
      </c>
      <c r="H27" s="15" t="n">
        <f aca="false">C27-SUM(D27:G27)</f>
        <v>1</v>
      </c>
      <c r="I27" s="15" t="n">
        <f aca="false">COUNTIFS(ヒアリング!$B$2:$B$78,$A27,ヒアリング!$N$2:$N$78,"GAP",ヒアリング!$R$2:$R$78,"ロジック改修")</f>
        <v>0</v>
      </c>
      <c r="J27" s="15" t="n">
        <f aca="false">COUNTIFS(ヒアリング!$B$2:$B$78,$A27,ヒアリング!$Z$2:$Z$78,"決定済み")</f>
        <v>0</v>
      </c>
      <c r="K27" s="15" t="n">
        <f aca="false">C27-J27</f>
        <v>1</v>
      </c>
    </row>
    <row r="28" customFormat="false" ht="15" hidden="false" customHeight="false" outlineLevel="0" collapsed="false">
      <c r="A28" s="13" t="s">
        <v>506</v>
      </c>
      <c r="B28" s="3" t="s">
        <v>507</v>
      </c>
      <c r="C28" s="15" t="n">
        <f aca="false">COUNTIF(ヒアリング!$B$2:$B$78,A28)</f>
        <v>2</v>
      </c>
      <c r="D28" s="15" t="n">
        <f aca="false">COUNTIFS(ヒアリング!$B$2:$B$78,$A28,ヒアリング!$N$2:$N$78,"適合")</f>
        <v>0</v>
      </c>
      <c r="E28" s="15" t="n">
        <f aca="false">COUNTIFS(ヒアリング!$B$2:$B$78,$A28,ヒアリング!$N$2:$N$78,"条件付き適合")</f>
        <v>0</v>
      </c>
      <c r="F28" s="15" t="n">
        <f aca="false">COUNTIFS(ヒアリング!$B$2:$B$78,$A28,ヒアリング!$N$2:$N$78,"GAP")</f>
        <v>0</v>
      </c>
      <c r="G28" s="15" t="n">
        <f aca="false">COUNTIFS(ヒアリング!$B$2:$B$78,$A28,ヒアリング!$N$2:$N$78,"対象外")</f>
        <v>0</v>
      </c>
      <c r="H28" s="15" t="n">
        <f aca="false">C28-SUM(D28:G28)</f>
        <v>2</v>
      </c>
      <c r="I28" s="15" t="n">
        <f aca="false">COUNTIFS(ヒアリング!$B$2:$B$78,$A28,ヒアリング!$N$2:$N$78,"GAP",ヒアリング!$R$2:$R$78,"ロジック改修")</f>
        <v>0</v>
      </c>
      <c r="J28" s="15" t="n">
        <f aca="false">COUNTIFS(ヒアリング!$B$2:$B$78,$A28,ヒアリング!$Z$2:$Z$78,"決定済み")</f>
        <v>0</v>
      </c>
      <c r="K28" s="15" t="n">
        <f aca="false">C28-J28</f>
        <v>2</v>
      </c>
    </row>
    <row r="29" customFormat="false" ht="15" hidden="false" customHeight="false" outlineLevel="0" collapsed="false">
      <c r="A29" s="13" t="s">
        <v>518</v>
      </c>
      <c r="B29" s="3" t="s">
        <v>519</v>
      </c>
      <c r="C29" s="15" t="n">
        <f aca="false">COUNTIF(ヒアリング!$B$2:$B$78,A29)</f>
        <v>1</v>
      </c>
      <c r="D29" s="15" t="n">
        <f aca="false">COUNTIFS(ヒアリング!$B$2:$B$78,$A29,ヒアリング!$N$2:$N$78,"適合")</f>
        <v>0</v>
      </c>
      <c r="E29" s="15" t="n">
        <f aca="false">COUNTIFS(ヒアリング!$B$2:$B$78,$A29,ヒアリング!$N$2:$N$78,"条件付き適合")</f>
        <v>0</v>
      </c>
      <c r="F29" s="15" t="n">
        <f aca="false">COUNTIFS(ヒアリング!$B$2:$B$78,$A29,ヒアリング!$N$2:$N$78,"GAP")</f>
        <v>0</v>
      </c>
      <c r="G29" s="15" t="n">
        <f aca="false">COUNTIFS(ヒアリング!$B$2:$B$78,$A29,ヒアリング!$N$2:$N$78,"対象外")</f>
        <v>0</v>
      </c>
      <c r="H29" s="15" t="n">
        <f aca="false">C29-SUM(D29:G29)</f>
        <v>1</v>
      </c>
      <c r="I29" s="15" t="n">
        <f aca="false">COUNTIFS(ヒアリング!$B$2:$B$78,$A29,ヒアリング!$N$2:$N$78,"GAP",ヒアリング!$R$2:$R$78,"ロジック改修")</f>
        <v>0</v>
      </c>
      <c r="J29" s="15" t="n">
        <f aca="false">COUNTIFS(ヒアリング!$B$2:$B$78,$A29,ヒアリング!$Z$2:$Z$78,"決定済み")</f>
        <v>0</v>
      </c>
      <c r="K29" s="15" t="n">
        <f aca="false">C29-J29</f>
        <v>1</v>
      </c>
    </row>
    <row r="30" customFormat="false" ht="15" hidden="false" customHeight="false" outlineLevel="0" collapsed="false">
      <c r="A30" s="13" t="s">
        <v>524</v>
      </c>
      <c r="B30" s="3" t="s">
        <v>525</v>
      </c>
      <c r="C30" s="15" t="n">
        <f aca="false">COUNTIF(ヒアリング!$B$2:$B$78,A30)</f>
        <v>1</v>
      </c>
      <c r="D30" s="15" t="n">
        <f aca="false">COUNTIFS(ヒアリング!$B$2:$B$78,$A30,ヒアリング!$N$2:$N$78,"適合")</f>
        <v>0</v>
      </c>
      <c r="E30" s="15" t="n">
        <f aca="false">COUNTIFS(ヒアリング!$B$2:$B$78,$A30,ヒアリング!$N$2:$N$78,"条件付き適合")</f>
        <v>0</v>
      </c>
      <c r="F30" s="15" t="n">
        <f aca="false">COUNTIFS(ヒアリング!$B$2:$B$78,$A30,ヒアリング!$N$2:$N$78,"GAP")</f>
        <v>0</v>
      </c>
      <c r="G30" s="15" t="n">
        <f aca="false">COUNTIFS(ヒアリング!$B$2:$B$78,$A30,ヒアリング!$N$2:$N$78,"対象外")</f>
        <v>0</v>
      </c>
      <c r="H30" s="15" t="n">
        <f aca="false">C30-SUM(D30:G30)</f>
        <v>1</v>
      </c>
      <c r="I30" s="15" t="n">
        <f aca="false">COUNTIFS(ヒアリング!$B$2:$B$78,$A30,ヒアリング!$N$2:$N$78,"GAP",ヒアリング!$R$2:$R$78,"ロジック改修")</f>
        <v>0</v>
      </c>
      <c r="J30" s="15" t="n">
        <f aca="false">COUNTIFS(ヒアリング!$B$2:$B$78,$A30,ヒアリング!$Z$2:$Z$78,"決定済み")</f>
        <v>0</v>
      </c>
      <c r="K30" s="15" t="n">
        <f aca="false">C30-J30</f>
        <v>1</v>
      </c>
    </row>
    <row r="31" customFormat="false" ht="15" hidden="false" customHeight="false" outlineLevel="0" collapsed="false">
      <c r="A31" s="2" t="s">
        <v>538</v>
      </c>
      <c r="B31" s="2"/>
      <c r="C31" s="16" t="n">
        <f aca="false">SUM(C4:C30)</f>
        <v>77</v>
      </c>
      <c r="D31" s="16" t="n">
        <f aca="false">SUM(D4:D30)</f>
        <v>0</v>
      </c>
      <c r="E31" s="16" t="n">
        <f aca="false">SUM(E4:E30)</f>
        <v>0</v>
      </c>
      <c r="F31" s="16" t="n">
        <f aca="false">SUM(F4:F30)</f>
        <v>0</v>
      </c>
      <c r="G31" s="16" t="n">
        <f aca="false">SUM(G4:G30)</f>
        <v>0</v>
      </c>
      <c r="H31" s="16" t="n">
        <f aca="false">SUM(H4:H30)</f>
        <v>77</v>
      </c>
      <c r="I31" s="16" t="n">
        <f aca="false">SUM(I4:I30)</f>
        <v>0</v>
      </c>
      <c r="J31" s="16" t="n">
        <f aca="false">SUM(J4:J30)</f>
        <v>0</v>
      </c>
      <c r="K31" s="16" t="n">
        <f aca="false">SUM(K4:K30)</f>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s>
  <sheetData>
    <row r="1" customFormat="false" ht="15" hidden="false" customHeight="false" outlineLevel="0" collapsed="false">
      <c r="A1" s="9" t="s">
        <v>29</v>
      </c>
      <c r="B1" s="9" t="s">
        <v>31</v>
      </c>
      <c r="C1" s="9" t="s">
        <v>33</v>
      </c>
      <c r="D1" s="9" t="s">
        <v>37</v>
      </c>
      <c r="E1" s="9" t="s">
        <v>67</v>
      </c>
    </row>
    <row r="2" customFormat="false" ht="15" hidden="false" customHeight="false" outlineLevel="0" collapsed="false">
      <c r="A2" s="3" t="s">
        <v>532</v>
      </c>
      <c r="B2" s="3" t="s">
        <v>128</v>
      </c>
      <c r="C2" s="3" t="s">
        <v>539</v>
      </c>
      <c r="D2" s="3" t="s">
        <v>88</v>
      </c>
      <c r="E2" s="3" t="s">
        <v>90</v>
      </c>
    </row>
    <row r="3" customFormat="false" ht="15" hidden="false" customHeight="false" outlineLevel="0" collapsed="false">
      <c r="A3" s="3" t="s">
        <v>533</v>
      </c>
      <c r="B3" s="3" t="s">
        <v>153</v>
      </c>
      <c r="C3" s="3" t="s">
        <v>52</v>
      </c>
      <c r="D3" s="3" t="s">
        <v>540</v>
      </c>
      <c r="E3" s="3" t="s">
        <v>81</v>
      </c>
    </row>
    <row r="4" customFormat="false" ht="15" hidden="false" customHeight="false" outlineLevel="0" collapsed="false">
      <c r="A4" s="4" t="s">
        <v>42</v>
      </c>
      <c r="B4" s="3" t="s">
        <v>49</v>
      </c>
      <c r="C4" s="3" t="s">
        <v>541</v>
      </c>
      <c r="D4" s="3" t="s">
        <v>542</v>
      </c>
      <c r="E4" s="3" t="s">
        <v>106</v>
      </c>
    </row>
    <row r="5" customFormat="false" ht="15" hidden="false" customHeight="false" outlineLevel="0" collapsed="false">
      <c r="A5" s="3" t="s">
        <v>534</v>
      </c>
      <c r="B5" s="3" t="s">
        <v>187</v>
      </c>
      <c r="D5" s="3" t="s">
        <v>63</v>
      </c>
      <c r="E5" s="3" t="s">
        <v>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2026-09-11T11:00:27Z</dcterms:created>
  <dc:creator>openpyxl</dc:creator>
  <dc:description/>
  <dc:language>en-US</dc:language>
  <cp:lastModifiedBy/>
  <dcterms:modified xsi:type="dcterms:W3CDTF">2026-09-11T11:00:27Z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